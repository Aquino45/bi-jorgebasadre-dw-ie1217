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2" sheetId="1" state="visible" r:id="rId3"/>
    <sheet name="Matriz bus" sheetId="2" state="visible" r:id="rId4"/>
    <sheet name="Mapeo origen-DW" sheetId="3" state="visible" r:id="rId5"/>
  </sheets>
  <definedNames>
    <definedName function="false" hidden="true" localSheetId="2" name="_xlnm._FilterDatabase" vbProcedure="false">'Mapeo origen-DW'!$A$1:$K$44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<sst xmlns="http://schemas.openxmlformats.org/spreadsheetml/2006/main" count="1154" uniqueCount="451">
  <si>
    <t xml:space="preserve">N°</t>
  </si>
  <si>
    <t xml:space="preserve">Proceso</t>
  </si>
  <si>
    <t xml:space="preserve">Hecho</t>
  </si>
  <si>
    <t xml:space="preserve">Granularidad de la medida</t>
  </si>
  <si>
    <t xml:space="preserve">Medida</t>
  </si>
  <si>
    <t xml:space="preserve">Tipo</t>
  </si>
  <si>
    <t xml:space="preserve">Fórmula</t>
  </si>
  <si>
    <t xml:space="preserve">Estado</t>
  </si>
  <si>
    <r>
      <rPr>
        <b val="true"/>
        <sz val="10"/>
        <rFont val="Arial"/>
        <family val="0"/>
        <charset val="1"/>
      </rPr>
      <t xml:space="preserve">Estudiante</t>
    </r>
    <r>
      <rPr>
        <i val="true"/>
        <sz val="8"/>
        <color rgb="FF7F7F7F"/>
        <rFont val="Arial"/>
        <family val="0"/>
        <charset val="1"/>
      </rPr>
      <t xml:space="preserve"> (DimEstudiante)</t>
    </r>
  </si>
  <si>
    <r>
      <rPr>
        <b val="true"/>
        <sz val="10"/>
        <rFont val="Arial"/>
        <family val="0"/>
        <charset val="1"/>
      </rPr>
      <t xml:space="preserve">Docente</t>
    </r>
    <r>
      <rPr>
        <i val="true"/>
        <sz val="8"/>
        <color rgb="FF7F7F7F"/>
        <rFont val="Arial"/>
        <family val="0"/>
        <charset val="1"/>
      </rPr>
      <t xml:space="preserve"> (DimDocente)</t>
    </r>
  </si>
  <si>
    <r>
      <rPr>
        <b val="true"/>
        <sz val="10"/>
        <rFont val="Arial"/>
        <family val="0"/>
        <charset val="1"/>
      </rPr>
      <t xml:space="preserve">Nivel académico</t>
    </r>
    <r>
      <rPr>
        <i val="true"/>
        <sz val="8"/>
        <color rgb="FF7F7F7F"/>
        <rFont val="Arial"/>
        <family val="0"/>
        <charset val="1"/>
      </rPr>
      <t xml:space="preserve"> (DimNivelAcademico)</t>
    </r>
  </si>
  <si>
    <r>
      <rPr>
        <b val="true"/>
        <sz val="10"/>
        <rFont val="Arial"/>
        <family val="0"/>
        <charset val="1"/>
      </rPr>
      <t xml:space="preserve">Cursos</t>
    </r>
    <r>
      <rPr>
        <i val="true"/>
        <sz val="8"/>
        <color rgb="FF7F7F7F"/>
        <rFont val="Arial"/>
        <family val="0"/>
        <charset val="1"/>
      </rPr>
      <t xml:space="preserve"> (DimCurso)</t>
    </r>
  </si>
  <si>
    <r>
      <rPr>
        <b val="true"/>
        <sz val="10"/>
        <rFont val="Arial"/>
        <family val="0"/>
        <charset val="1"/>
      </rPr>
      <t xml:space="preserve">Tipo de matrícula</t>
    </r>
    <r>
      <rPr>
        <i val="true"/>
        <sz val="8"/>
        <color rgb="FF7F7F7F"/>
        <rFont val="Arial"/>
        <family val="0"/>
        <charset val="1"/>
      </rPr>
      <t xml:space="preserve"> (DimTipoMatricula)</t>
    </r>
  </si>
  <si>
    <r>
      <rPr>
        <b val="true"/>
        <sz val="10"/>
        <rFont val="Arial"/>
        <family val="0"/>
        <charset val="1"/>
      </rPr>
      <t xml:space="preserve">Tiempo</t>
    </r>
    <r>
      <rPr>
        <i val="true"/>
        <sz val="8"/>
        <color rgb="FF7F7F7F"/>
        <rFont val="Arial"/>
        <family val="0"/>
        <charset val="1"/>
      </rPr>
      <t xml:space="preserve"> (DimTiempo)</t>
    </r>
  </si>
  <si>
    <t xml:space="preserve">Fuente principal</t>
  </si>
  <si>
    <t xml:space="preserve">Observación</t>
  </si>
  <si>
    <t xml:space="preserve">Entidad</t>
  </si>
  <si>
    <t xml:space="preserve">Tiempo</t>
  </si>
  <si>
    <r>
      <rPr>
        <sz val="10"/>
        <rFont val="Arial"/>
        <family val="0"/>
        <charset val="1"/>
      </rPr>
      <t xml:space="preserve">Código</t>
    </r>
    <r>
      <rPr>
        <i val="true"/>
        <sz val="8"/>
        <color rgb="FF7F7F7F"/>
        <rFont val="Arial"/>
        <family val="0"/>
        <charset val="1"/>
      </rPr>
      <t xml:space="preserve"> (CodigoEstudiante)</t>
    </r>
  </si>
  <si>
    <r>
      <rPr>
        <sz val="10"/>
        <rFont val="Arial"/>
        <family val="0"/>
        <charset val="1"/>
      </rPr>
      <t xml:space="preserve">Nombre completo</t>
    </r>
    <r>
      <rPr>
        <i val="true"/>
        <sz val="8"/>
        <color rgb="FF7F7F7F"/>
        <rFont val="Arial"/>
        <family val="0"/>
        <charset val="1"/>
      </rPr>
      <t xml:space="preserve"> (NombreCompleto)</t>
    </r>
  </si>
  <si>
    <r>
      <rPr>
        <sz val="10"/>
        <rFont val="Arial"/>
        <family val="0"/>
        <charset val="1"/>
      </rPr>
      <t xml:space="preserve">Sexo</t>
    </r>
    <r>
      <rPr>
        <i val="true"/>
        <sz val="8"/>
        <color rgb="FF7F7F7F"/>
        <rFont val="Arial"/>
        <family val="0"/>
        <charset val="1"/>
      </rPr>
      <t xml:space="preserve"> (Sexo)</t>
    </r>
  </si>
  <si>
    <r>
      <rPr>
        <sz val="10"/>
        <rFont val="Arial"/>
        <family val="0"/>
        <charset val="1"/>
      </rPr>
      <t xml:space="preserve">Edad</t>
    </r>
    <r>
      <rPr>
        <i val="true"/>
        <sz val="8"/>
        <color rgb="FF7F7F7F"/>
        <rFont val="Arial"/>
        <family val="0"/>
        <charset val="1"/>
      </rPr>
      <t xml:space="preserve"> (FechaNacimiento; se calcula)</t>
    </r>
  </si>
  <si>
    <r>
      <rPr>
        <sz val="10"/>
        <rFont val="Arial"/>
        <family val="0"/>
        <charset val="1"/>
      </rPr>
      <t xml:space="preserve">Código</t>
    </r>
    <r>
      <rPr>
        <i val="true"/>
        <sz val="8"/>
        <color rgb="FF7F7F7F"/>
        <rFont val="Arial"/>
        <family val="0"/>
        <charset val="1"/>
      </rPr>
      <t xml:space="preserve"> (DocenteID)</t>
    </r>
  </si>
  <si>
    <r>
      <rPr>
        <sz val="10"/>
        <rFont val="Arial"/>
        <family val="0"/>
        <charset val="1"/>
      </rPr>
      <t xml:space="preserve">Condición laboral</t>
    </r>
    <r>
      <rPr>
        <i val="true"/>
        <sz val="8"/>
        <color rgb="FF7F7F7F"/>
        <rFont val="Arial"/>
        <family val="0"/>
        <charset val="1"/>
      </rPr>
      <t xml:space="preserve"> (CondicionLaboral)</t>
    </r>
  </si>
  <si>
    <r>
      <rPr>
        <sz val="10"/>
        <rFont val="Arial"/>
        <family val="0"/>
        <charset val="1"/>
      </rPr>
      <t xml:space="preserve">Ciclo</t>
    </r>
    <r>
      <rPr>
        <i val="true"/>
        <sz val="8"/>
        <color rgb="FF7F7F7F"/>
        <rFont val="Arial"/>
        <family val="0"/>
        <charset val="1"/>
      </rPr>
      <t xml:space="preserve"> (Ciclo)</t>
    </r>
  </si>
  <si>
    <r>
      <rPr>
        <sz val="10"/>
        <rFont val="Arial"/>
        <family val="0"/>
        <charset val="1"/>
      </rPr>
      <t xml:space="preserve">Grado</t>
    </r>
    <r>
      <rPr>
        <i val="true"/>
        <sz val="8"/>
        <color rgb="FF7F7F7F"/>
        <rFont val="Arial"/>
        <family val="0"/>
        <charset val="1"/>
      </rPr>
      <t xml:space="preserve"> (Grado)</t>
    </r>
  </si>
  <si>
    <r>
      <rPr>
        <sz val="10"/>
        <rFont val="Arial"/>
        <family val="0"/>
        <charset val="1"/>
      </rPr>
      <t xml:space="preserve">Sección</t>
    </r>
    <r>
      <rPr>
        <i val="true"/>
        <sz val="8"/>
        <color rgb="FF7F7F7F"/>
        <rFont val="Arial"/>
        <family val="0"/>
        <charset val="1"/>
      </rPr>
      <t xml:space="preserve"> (Seccion)</t>
    </r>
  </si>
  <si>
    <r>
      <rPr>
        <sz val="10"/>
        <rFont val="Arial"/>
        <family val="0"/>
        <charset val="1"/>
      </rPr>
      <t xml:space="preserve">Cursos</t>
    </r>
    <r>
      <rPr>
        <i val="true"/>
        <sz val="8"/>
        <color rgb="FF7F7F7F"/>
        <rFont val="Arial"/>
        <family val="0"/>
        <charset val="1"/>
      </rPr>
      <t xml:space="preserve"> (Curso)</t>
    </r>
  </si>
  <si>
    <r>
      <rPr>
        <sz val="10"/>
        <rFont val="Arial"/>
        <family val="0"/>
        <charset val="1"/>
      </rPr>
      <t xml:space="preserve">Tipo Competencia</t>
    </r>
    <r>
      <rPr>
        <i val="true"/>
        <sz val="8"/>
        <color rgb="FF7F7F7F"/>
        <rFont val="Arial"/>
        <family val="0"/>
        <charset val="1"/>
      </rPr>
      <t xml:space="preserve"> (TipoCompetencia)</t>
    </r>
  </si>
  <si>
    <r>
      <rPr>
        <sz val="10"/>
        <rFont val="Arial"/>
        <family val="0"/>
        <charset val="1"/>
      </rPr>
      <t xml:space="preserve">Competencia</t>
    </r>
    <r>
      <rPr>
        <i val="true"/>
        <sz val="8"/>
        <color rgb="FF7F7F7F"/>
        <rFont val="Arial"/>
        <family val="0"/>
        <charset val="1"/>
      </rPr>
      <t xml:space="preserve"> (Competencia)</t>
    </r>
  </si>
  <si>
    <r>
      <rPr>
        <sz val="10"/>
        <rFont val="Arial"/>
        <family val="0"/>
        <charset val="1"/>
      </rPr>
      <t xml:space="preserve">Tipo</t>
    </r>
    <r>
      <rPr>
        <i val="true"/>
        <sz val="8"/>
        <color rgb="FF7F7F7F"/>
        <rFont val="Arial"/>
        <family val="0"/>
        <charset val="1"/>
      </rPr>
      <t xml:space="preserve"> (TipoMatricula)</t>
    </r>
  </si>
  <si>
    <r>
      <rPr>
        <sz val="10"/>
        <rFont val="Arial"/>
        <family val="0"/>
        <charset val="1"/>
      </rPr>
      <t xml:space="preserve">Vía</t>
    </r>
    <r>
      <rPr>
        <i val="true"/>
        <sz val="8"/>
        <color rgb="FF7F7F7F"/>
        <rFont val="Arial"/>
        <family val="0"/>
        <charset val="1"/>
      </rPr>
      <t xml:space="preserve"> (ViaMatricula)</t>
    </r>
  </si>
  <si>
    <r>
      <rPr>
        <sz val="10"/>
        <rFont val="Arial"/>
        <family val="0"/>
        <charset val="1"/>
      </rPr>
      <t xml:space="preserve">Fase</t>
    </r>
    <r>
      <rPr>
        <i val="true"/>
        <sz val="8"/>
        <color rgb="FF7F7F7F"/>
        <rFont val="Arial"/>
        <family val="0"/>
        <charset val="1"/>
      </rPr>
      <t xml:space="preserve"> (FaseProceso)</t>
    </r>
  </si>
  <si>
    <r>
      <rPr>
        <sz val="10"/>
        <rFont val="Arial"/>
        <family val="0"/>
        <charset val="1"/>
      </rPr>
      <t xml:space="preserve">Estado</t>
    </r>
    <r>
      <rPr>
        <i val="true"/>
        <sz val="8"/>
        <color rgb="FF7F7F7F"/>
        <rFont val="Arial"/>
        <family val="0"/>
        <charset val="1"/>
      </rPr>
      <t xml:space="preserve"> (EstadoMatricula)</t>
    </r>
  </si>
  <si>
    <r>
      <rPr>
        <sz val="10"/>
        <rFont val="Arial"/>
        <family val="0"/>
        <charset val="1"/>
      </rPr>
      <t xml:space="preserve">Año</t>
    </r>
    <r>
      <rPr>
        <i val="true"/>
        <sz val="8"/>
        <color rgb="FF7F7F7F"/>
        <rFont val="Arial"/>
        <family val="0"/>
        <charset val="1"/>
      </rPr>
      <t xml:space="preserve"> (Anio)</t>
    </r>
  </si>
  <si>
    <r>
      <rPr>
        <sz val="10"/>
        <rFont val="Arial"/>
        <family val="0"/>
        <charset val="1"/>
      </rPr>
      <t xml:space="preserve">Bimestre</t>
    </r>
    <r>
      <rPr>
        <i val="true"/>
        <sz val="8"/>
        <color rgb="FF7F7F7F"/>
        <rFont val="Arial"/>
        <family val="0"/>
        <charset val="1"/>
      </rPr>
      <t xml:space="preserve"> (Bimestre)</t>
    </r>
  </si>
  <si>
    <r>
      <rPr>
        <sz val="10"/>
        <rFont val="Arial"/>
        <family val="0"/>
        <charset val="1"/>
      </rPr>
      <t xml:space="preserve">Mes</t>
    </r>
    <r>
      <rPr>
        <i val="true"/>
        <sz val="8"/>
        <color rgb="FF7F7F7F"/>
        <rFont val="Arial"/>
        <family val="0"/>
        <charset val="1"/>
      </rPr>
      <t xml:space="preserve"> (Mes)</t>
    </r>
  </si>
  <si>
    <r>
      <rPr>
        <sz val="10"/>
        <rFont val="Arial"/>
        <family val="0"/>
        <charset val="1"/>
      </rPr>
      <t xml:space="preserve">Día</t>
    </r>
    <r>
      <rPr>
        <i val="true"/>
        <sz val="8"/>
        <color rgb="FF7F7F7F"/>
        <rFont val="Arial"/>
        <family val="0"/>
        <charset val="1"/>
      </rPr>
      <t xml:space="preserve"> (Fecha)</t>
    </r>
  </si>
  <si>
    <t xml:space="preserve">1.0</t>
  </si>
  <si>
    <t xml:space="preserve">Matrícula y vacantes</t>
  </si>
  <si>
    <r>
      <rPr>
        <sz val="10"/>
        <rFont val="Arial"/>
        <family val="0"/>
        <charset val="1"/>
      </rPr>
      <t xml:space="preserve">Matrícula</t>
    </r>
    <r>
      <rPr>
        <i val="true"/>
        <sz val="8"/>
        <color rgb="FF7F7F7F"/>
        <rFont val="Arial"/>
        <family val="0"/>
        <charset val="1"/>
      </rPr>
      <t xml:space="preserve"> (dm_matricula.FacMatricula)</t>
    </r>
  </si>
  <si>
    <t xml:space="preserve">Matrícula</t>
  </si>
  <si>
    <t xml:space="preserve">Año</t>
  </si>
  <si>
    <r>
      <rPr>
        <sz val="10"/>
        <rFont val="Arial"/>
        <family val="0"/>
        <charset val="1"/>
      </rPr>
      <t xml:space="preserve">Matrículas solicitadas</t>
    </r>
    <r>
      <rPr>
        <i val="true"/>
        <sz val="8"/>
        <color rgb="FF7F7F7F"/>
        <rFont val="Arial"/>
        <family val="0"/>
        <charset val="1"/>
      </rPr>
      <t xml:space="preserve"> (MatriculasSolicitadas)</t>
    </r>
  </si>
  <si>
    <t xml:space="preserve">Métrica</t>
  </si>
  <si>
    <t xml:space="preserve">Cantidad de matrículas registradas</t>
  </si>
  <si>
    <t xml:space="preserve">Script SQL</t>
  </si>
  <si>
    <t xml:space="preserve">x</t>
  </si>
  <si>
    <t xml:space="preserve">matricula.csv (+ estudiantes.csv, secciones.csv)</t>
  </si>
  <si>
    <t xml:space="preserve">Incluye ingresantes, traslados y continuadores. Año = año escolar de la matrícula (columna del hecho), no el año de sus fechas: las solicitudes de diciembre son del año siguiente.</t>
  </si>
  <si>
    <r>
      <rPr>
        <sz val="10"/>
        <rFont val="Arial"/>
        <family val="0"/>
        <charset val="1"/>
      </rPr>
      <t xml:space="preserve">Matrículas validadas</t>
    </r>
    <r>
      <rPr>
        <i val="true"/>
        <sz val="8"/>
        <color rgb="FF7F7F7F"/>
        <rFont val="Arial"/>
        <family val="0"/>
        <charset val="1"/>
      </rPr>
      <t xml:space="preserve"> (MatriculasValidadas)</t>
    </r>
  </si>
  <si>
    <t xml:space="preserve">Cantidad de matrículas aprobadas</t>
  </si>
  <si>
    <t xml:space="preserve">Validada = aprobada.</t>
  </si>
  <si>
    <r>
      <rPr>
        <sz val="10"/>
        <rFont val="Arial"/>
        <family val="0"/>
        <charset val="1"/>
      </rPr>
      <t xml:space="preserve">% de matrículas validadas</t>
    </r>
    <r>
      <rPr>
        <i val="true"/>
        <sz val="8"/>
        <color rgb="FF7F7F7F"/>
        <rFont val="Arial"/>
        <family val="0"/>
        <charset val="1"/>
      </rPr>
      <t xml:space="preserve"> (medida DAX)</t>
    </r>
  </si>
  <si>
    <t xml:space="preserve">KPI</t>
  </si>
  <si>
    <t xml:space="preserve">Validadas ÷ solicitadas × 100</t>
  </si>
  <si>
    <t xml:space="preserve">Power BI</t>
  </si>
  <si>
    <t xml:space="preserve">Filtrar por año escolar: 16 de 21 rechazadas no tienen ninguna fecha (P13b, propuesta).</t>
  </si>
  <si>
    <r>
      <rPr>
        <sz val="10"/>
        <rFont val="Arial"/>
        <family val="0"/>
        <charset val="1"/>
      </rPr>
      <t xml:space="preserve">Matrículas rechazadas</t>
    </r>
    <r>
      <rPr>
        <i val="true"/>
        <sz val="8"/>
        <color rgb="FF7F7F7F"/>
        <rFont val="Arial"/>
        <family val="0"/>
        <charset val="1"/>
      </rPr>
      <t xml:space="preserve"> (MatriculasRechazadas)</t>
    </r>
  </si>
  <si>
    <t xml:space="preserve">Cantidad de matrículas rechazadas</t>
  </si>
  <si>
    <r>
      <rPr>
        <sz val="10"/>
        <rFont val="Arial"/>
        <family val="0"/>
        <charset val="1"/>
      </rPr>
      <t xml:space="preserve">Días de validación</t>
    </r>
    <r>
      <rPr>
        <i val="true"/>
        <sz val="8"/>
        <color rgb="FF7F7F7F"/>
        <rFont val="Arial"/>
        <family val="0"/>
        <charset val="1"/>
      </rPr>
      <t xml:space="preserve"> (DiasValidacion)</t>
    </r>
  </si>
  <si>
    <t xml:space="preserve">Días entre la solicitud y la revisión</t>
  </si>
  <si>
    <t xml:space="preserve">Solo solicitudes de vacante: los continuadores no presentan solicitud.</t>
  </si>
  <si>
    <r>
      <rPr>
        <sz val="10"/>
        <rFont val="Arial"/>
        <family val="0"/>
        <charset val="1"/>
      </rPr>
      <t xml:space="preserve">Tiempo promedio de validación</t>
    </r>
    <r>
      <rPr>
        <i val="true"/>
        <sz val="8"/>
        <color rgb="FF7F7F7F"/>
        <rFont val="Arial"/>
        <family val="0"/>
        <charset val="1"/>
      </rPr>
      <t xml:space="preserve"> (medida DAX)</t>
    </r>
  </si>
  <si>
    <t xml:space="preserve">Indicador</t>
  </si>
  <si>
    <t xml:space="preserve">Días de validación ÷ solicitudes con ambas fechas</t>
  </si>
  <si>
    <t xml:space="preserve">Hoy el ETL solo calcula días de las aprobadas (P18, propuesta).</t>
  </si>
  <si>
    <t xml:space="preserve">Sección</t>
  </si>
  <si>
    <r>
      <rPr>
        <sz val="10"/>
        <rFont val="Arial"/>
        <family val="0"/>
        <charset val="1"/>
      </rPr>
      <t xml:space="preserve">Cupo máximo por aula</t>
    </r>
    <r>
      <rPr>
        <i val="true"/>
        <sz val="8"/>
        <color rgb="FF7F7F7F"/>
        <rFont val="Arial"/>
        <family val="0"/>
        <charset val="1"/>
      </rPr>
      <t xml:space="preserve"> (CupoMaximoAula)</t>
    </r>
  </si>
  <si>
    <t xml:space="preserve">Vacantes de la sección en el año</t>
  </si>
  <si>
    <t xml:space="preserve">Dato del aula: se cuenta una vez por sección y año. Vive en el hecho Matrícula (D30): en Power BI, MAX por año + sección y sin filtros de estudiante ni de tipo de matrícula.</t>
  </si>
  <si>
    <r>
      <rPr>
        <sz val="10"/>
        <rFont val="Arial"/>
        <family val="0"/>
        <charset val="1"/>
      </rPr>
      <t xml:space="preserve">Vacantes ocupadas</t>
    </r>
    <r>
      <rPr>
        <i val="true"/>
        <sz val="8"/>
        <color rgb="FF7F7F7F"/>
        <rFont val="Arial"/>
        <family val="0"/>
        <charset val="1"/>
      </rPr>
      <t xml:space="preserve"> (VacantesOcupadas)</t>
    </r>
  </si>
  <si>
    <t xml:space="preserve">Cantidad de vacantes ocupadas</t>
  </si>
  <si>
    <t xml:space="preserve">Es igual a matrículas validadas por sección y año.</t>
  </si>
  <si>
    <r>
      <rPr>
        <sz val="10"/>
        <rFont val="Arial"/>
        <family val="0"/>
        <charset val="1"/>
      </rPr>
      <t xml:space="preserve">Vacantes disponibles por aula</t>
    </r>
    <r>
      <rPr>
        <i val="true"/>
        <sz val="8"/>
        <color rgb="FF7F7F7F"/>
        <rFont val="Arial"/>
        <family val="0"/>
        <charset val="1"/>
      </rPr>
      <t xml:space="preserve"> (medida DAX)</t>
    </r>
  </si>
  <si>
    <t xml:space="preserve">Cupo máximo por aula - Vacantes ocupadas</t>
  </si>
  <si>
    <r>
      <rPr>
        <sz val="10"/>
        <rFont val="Arial"/>
        <family val="0"/>
        <charset val="1"/>
      </rPr>
      <t xml:space="preserve">% de ocupación de vacantes</t>
    </r>
    <r>
      <rPr>
        <i val="true"/>
        <sz val="8"/>
        <color rgb="FF7F7F7F"/>
        <rFont val="Arial"/>
        <family val="0"/>
        <charset val="1"/>
      </rPr>
      <t xml:space="preserve"> (medida DAX)</t>
    </r>
  </si>
  <si>
    <t xml:space="preserve">Vacantes ocupadas ÷ cupo total × 100</t>
  </si>
  <si>
    <t xml:space="preserve">Cupo total = suma de los cupos de las aulas (una vez por sección y año).</t>
  </si>
  <si>
    <t xml:space="preserve">2.0</t>
  </si>
  <si>
    <t xml:space="preserve">Preparación curricular (sesiones + materiales)</t>
  </si>
  <si>
    <r>
      <rPr>
        <sz val="10"/>
        <rFont val="Arial"/>
        <family val="0"/>
        <charset val="1"/>
      </rPr>
      <t xml:space="preserve">Sesiones</t>
    </r>
    <r>
      <rPr>
        <i val="true"/>
        <sz val="8"/>
        <color rgb="FF7F7F7F"/>
        <rFont val="Arial"/>
        <family val="0"/>
        <charset val="1"/>
      </rPr>
      <t xml:space="preserve"> (dm_preparacion.FacSesion)</t>
    </r>
  </si>
  <si>
    <t xml:space="preserve">Docente</t>
  </si>
  <si>
    <t xml:space="preserve">Mes</t>
  </si>
  <si>
    <r>
      <rPr>
        <sz val="10"/>
        <rFont val="Arial"/>
        <family val="0"/>
        <charset val="1"/>
      </rPr>
      <t xml:space="preserve">% de docentes con retraso en horarios</t>
    </r>
    <r>
      <rPr>
        <i val="true"/>
        <sz val="8"/>
        <color rgb="FF7F7F7F"/>
        <rFont val="Arial"/>
        <family val="0"/>
        <charset val="1"/>
      </rPr>
      <t xml:space="preserve"> (medida DAX)</t>
    </r>
  </si>
  <si>
    <t xml:space="preserve">(Docentes con retraso en horarios / Docentes con sesiones programadas) x 100 (docente con retraso: menos del 80 % de sus sesiones en horario en el mes)</t>
  </si>
  <si>
    <t xml:space="preserve">sesiones.csv (+ carga_horaria.csv)</t>
  </si>
  <si>
    <t xml:space="preserve">Por mes (P4); periodo mayor: P17 (propuesta). Con filtro de bimestre, un mes partido se evalúa solo con sus días en ese bimestre.</t>
  </si>
  <si>
    <t xml:space="preserve">Asignación</t>
  </si>
  <si>
    <r>
      <rPr>
        <sz val="10"/>
        <rFont val="Arial"/>
        <family val="0"/>
        <charset val="1"/>
      </rPr>
      <t xml:space="preserve">% de cumplimiento de horarios</t>
    </r>
    <r>
      <rPr>
        <i val="true"/>
        <sz val="8"/>
        <color rgb="FF7F7F7F"/>
        <rFont val="Arial"/>
        <family val="0"/>
        <charset val="1"/>
      </rPr>
      <t xml:space="preserve"> (medida DAX)</t>
    </r>
  </si>
  <si>
    <t xml:space="preserve">(Sesiones dictadas en horario / Sesiones programadas) x 100</t>
  </si>
  <si>
    <t xml:space="preserve">34 sesiones «Dictada» con minutos de retraso negativos no entran en horario, retraso ni incidencia: los tres % no suman 100 %.</t>
  </si>
  <si>
    <r>
      <rPr>
        <sz val="10"/>
        <rFont val="Arial"/>
        <family val="0"/>
        <charset val="1"/>
      </rPr>
      <t xml:space="preserve">Sesiones programadas</t>
    </r>
    <r>
      <rPr>
        <i val="true"/>
        <sz val="8"/>
        <color rgb="FF7F7F7F"/>
        <rFont val="Arial"/>
        <family val="0"/>
        <charset val="1"/>
      </rPr>
      <t xml:space="preserve"> (SesionesProgramadas)</t>
    </r>
  </si>
  <si>
    <t xml:space="preserve">Cantidad de sesiones registradas</t>
  </si>
  <si>
    <r>
      <rPr>
        <sz val="10"/>
        <rFont val="Arial"/>
        <family val="0"/>
        <charset val="1"/>
      </rPr>
      <t xml:space="preserve">Sesiones dictadas en horario</t>
    </r>
    <r>
      <rPr>
        <i val="true"/>
        <sz val="8"/>
        <color rgb="FF7F7F7F"/>
        <rFont val="Arial"/>
        <family val="0"/>
        <charset val="1"/>
      </rPr>
      <t xml:space="preserve"> (SesionesDictadasHorario)</t>
    </r>
  </si>
  <si>
    <t xml:space="preserve">Cantidad de sesiones dictadas sin minutos de retraso</t>
  </si>
  <si>
    <r>
      <rPr>
        <sz val="10"/>
        <rFont val="Arial"/>
        <family val="0"/>
        <charset val="1"/>
      </rPr>
      <t xml:space="preserve">Sesiones dictadas con retraso</t>
    </r>
    <r>
      <rPr>
        <i val="true"/>
        <sz val="8"/>
        <color rgb="FF7F7F7F"/>
        <rFont val="Arial"/>
        <family val="0"/>
        <charset val="1"/>
      </rPr>
      <t xml:space="preserve"> (SesionesDictadasRetraso)</t>
    </r>
  </si>
  <si>
    <t xml:space="preserve">Cantidad de sesiones con estado Dictada con retraso o con minutos de retraso</t>
  </si>
  <si>
    <r>
      <rPr>
        <sz val="10"/>
        <rFont val="Arial"/>
        <family val="0"/>
        <charset val="1"/>
      </rPr>
      <t xml:space="preserve">Incidencias de programación</t>
    </r>
    <r>
      <rPr>
        <i val="true"/>
        <sz val="8"/>
        <color rgb="FF7F7F7F"/>
        <rFont val="Arial"/>
        <family val="0"/>
        <charset val="1"/>
      </rPr>
      <t xml:space="preserve"> (IncidenciasProgramacion)</t>
    </r>
  </si>
  <si>
    <t xml:space="preserve">Cantidad de sesiones reprogramadas o no dictadas (según el estado de la sesión registrado en la fuente)</t>
  </si>
  <si>
    <t xml:space="preserve">Aproximación: la fuente no registra cruces de horario.</t>
  </si>
  <si>
    <r>
      <rPr>
        <sz val="10"/>
        <rFont val="Arial"/>
        <family val="0"/>
        <charset val="1"/>
      </rPr>
      <t xml:space="preserve">Docentes con sesiones programadas</t>
    </r>
    <r>
      <rPr>
        <i val="true"/>
        <sz val="8"/>
        <color rgb="FF7F7F7F"/>
        <rFont val="Arial"/>
        <family val="0"/>
        <charset val="1"/>
      </rPr>
      <t xml:space="preserve"> (medida DAX)</t>
    </r>
  </si>
  <si>
    <t xml:space="preserve">Cantidad de docentes distintos con sesiones</t>
  </si>
  <si>
    <r>
      <rPr>
        <sz val="10"/>
        <rFont val="Arial"/>
        <family val="0"/>
        <charset val="1"/>
      </rPr>
      <t xml:space="preserve">Docentes con retraso en horarios</t>
    </r>
    <r>
      <rPr>
        <i val="true"/>
        <sz val="8"/>
        <color rgb="FF7F7F7F"/>
        <rFont val="Arial"/>
        <family val="0"/>
        <charset val="1"/>
      </rPr>
      <t xml:space="preserve"> (medida DAX)</t>
    </r>
  </si>
  <si>
    <t xml:space="preserve">Cantidad de docentes distintos que cumplen el criterio de retraso (menos del 80 % de sus sesiones en horario en el mes)</t>
  </si>
  <si>
    <r>
      <rPr>
        <sz val="10"/>
        <rFont val="Arial"/>
        <family val="0"/>
        <charset val="1"/>
      </rPr>
      <t xml:space="preserve">Entrega de material</t>
    </r>
    <r>
      <rPr>
        <i val="true"/>
        <sz val="8"/>
        <color rgb="FF7F7F7F"/>
        <rFont val="Arial"/>
        <family val="0"/>
        <charset val="1"/>
      </rPr>
      <t xml:space="preserve"> (dm_preparacion.FacEntregaMaterial)</t>
    </r>
  </si>
  <si>
    <r>
      <rPr>
        <sz val="10"/>
        <rFont val="Arial"/>
        <family val="0"/>
        <charset val="1"/>
      </rPr>
      <t xml:space="preserve">% de docentes con retraso en la entrega de material</t>
    </r>
    <r>
      <rPr>
        <i val="true"/>
        <sz val="8"/>
        <color rgb="FF7F7F7F"/>
        <rFont val="Arial"/>
        <family val="0"/>
        <charset val="1"/>
      </rPr>
      <t xml:space="preserve"> (medida DAX)</t>
    </r>
  </si>
  <si>
    <t xml:space="preserve">(Docentes con entregas fuera de plazo / Docentes con material por entregar) x 100 (fuera de plazo: al menos un ejemplar a destiempo o no entregado en el año)</t>
  </si>
  <si>
    <t xml:space="preserve">entrega_materiales.csv (+ materiales.csv, carga_horaria.csv)</t>
  </si>
  <si>
    <t xml:space="preserve">Con P14 da 100 % en 2025 y 2026; propuesta P14b: menos del 80 % de sus ejemplares a tiempo.</t>
  </si>
  <si>
    <r>
      <rPr>
        <sz val="10"/>
        <rFont val="Arial"/>
        <family val="0"/>
        <charset val="1"/>
      </rPr>
      <t xml:space="preserve">% de materiales entregados a tiempo</t>
    </r>
    <r>
      <rPr>
        <i val="true"/>
        <sz val="8"/>
        <color rgb="FF7F7F7F"/>
        <rFont val="Arial"/>
        <family val="0"/>
        <charset val="1"/>
      </rPr>
      <t xml:space="preserve"> (medida DAX)</t>
    </r>
  </si>
  <si>
    <t xml:space="preserve">(Materiales entregados a tiempo / Materiales por entregar) x 100</t>
  </si>
  <si>
    <r>
      <rPr>
        <sz val="10"/>
        <rFont val="Arial"/>
        <family val="0"/>
        <charset val="1"/>
      </rPr>
      <t xml:space="preserve">Materiales por entregar</t>
    </r>
    <r>
      <rPr>
        <i val="true"/>
        <sz val="8"/>
        <color rgb="FF7F7F7F"/>
        <rFont val="Arial"/>
        <family val="0"/>
        <charset val="1"/>
      </rPr>
      <t xml:space="preserve"> (MaterialesPorEntregar)</t>
    </r>
  </si>
  <si>
    <t xml:space="preserve">Suma de ejemplares por entregar</t>
  </si>
  <si>
    <t xml:space="preserve">Se cuentan ejemplares, no títulos.</t>
  </si>
  <si>
    <r>
      <rPr>
        <sz val="10"/>
        <rFont val="Arial"/>
        <family val="0"/>
        <charset val="1"/>
      </rPr>
      <t xml:space="preserve">Materiales entregados a tiempo</t>
    </r>
    <r>
      <rPr>
        <i val="true"/>
        <sz val="8"/>
        <color rgb="FF7F7F7F"/>
        <rFont val="Arial"/>
        <family val="0"/>
        <charset val="1"/>
      </rPr>
      <t xml:space="preserve"> (MaterialesEntregadosATiempo)</t>
    </r>
  </si>
  <si>
    <t xml:space="preserve">Suma de ejemplares entregados a tiempo</t>
  </si>
  <si>
    <r>
      <rPr>
        <sz val="10"/>
        <rFont val="Arial"/>
        <family val="0"/>
        <charset val="1"/>
      </rPr>
      <t xml:space="preserve">Docentes con material por entregar</t>
    </r>
    <r>
      <rPr>
        <i val="true"/>
        <sz val="8"/>
        <color rgb="FF7F7F7F"/>
        <rFont val="Arial"/>
        <family val="0"/>
        <charset val="1"/>
      </rPr>
      <t xml:space="preserve"> (medida DAX)</t>
    </r>
  </si>
  <si>
    <t xml:space="preserve">Cantidad de docentes distintos con entregas programadas</t>
  </si>
  <si>
    <r>
      <rPr>
        <sz val="10"/>
        <rFont val="Arial"/>
        <family val="0"/>
        <charset val="1"/>
      </rPr>
      <t xml:space="preserve">Docentes con entregas fuera de plazo</t>
    </r>
    <r>
      <rPr>
        <i val="true"/>
        <sz val="8"/>
        <color rgb="FF7F7F7F"/>
        <rFont val="Arial"/>
        <family val="0"/>
        <charset val="1"/>
      </rPr>
      <t xml:space="preserve"> (medida DAX)</t>
    </r>
  </si>
  <si>
    <t xml:space="preserve">Cantidad de docentes distintos con ejemplares entregados a destiempo o no entregados (al menos un ejemplar fuera de plazo en el año)</t>
  </si>
  <si>
    <t xml:space="preserve">Regla P14 o, si se aprueba, P14b.</t>
  </si>
  <si>
    <t xml:space="preserve">4.0</t>
  </si>
  <si>
    <t xml:space="preserve">Gestión de los aprendizajes</t>
  </si>
  <si>
    <r>
      <rPr>
        <sz val="10"/>
        <rFont val="Arial"/>
        <family val="0"/>
        <charset val="1"/>
      </rPr>
      <t xml:space="preserve">Logro por competencia</t>
    </r>
    <r>
      <rPr>
        <i val="true"/>
        <sz val="8"/>
        <color rgb="FF7F7F7F"/>
        <rFont val="Arial"/>
        <family val="0"/>
        <charset val="1"/>
      </rPr>
      <t xml:space="preserve"> (dm_aprendizajes.FacLogroCompetencia)</t>
    </r>
  </si>
  <si>
    <t xml:space="preserve">Estudiante</t>
  </si>
  <si>
    <t xml:space="preserve">Bimestre</t>
  </si>
  <si>
    <r>
      <rPr>
        <sz val="10"/>
        <rFont val="Arial"/>
        <family val="0"/>
        <charset val="1"/>
      </rPr>
      <t xml:space="preserve">% de estudiantes con bajo rendimiento</t>
    </r>
    <r>
      <rPr>
        <i val="true"/>
        <sz val="8"/>
        <color rgb="FF7F7F7F"/>
        <rFont val="Arial"/>
        <family val="0"/>
        <charset val="1"/>
      </rPr>
      <t xml:space="preserve"> (medida DAX)</t>
    </r>
  </si>
  <si>
    <t xml:space="preserve">(Estudiantes con nota menor a 11 / Estudiantes evaluados) x 100 (bajo rendimiento: alguna área con promedio menor a 11)</t>
  </si>
  <si>
    <t xml:space="preserve">notas_competencias.csv (+ competencias.csv, areas_curriculares.csv, carga_horaria.csv)</t>
  </si>
  <si>
    <t xml:space="preserve">Con filtro de competencia, el «promedio de área» es esa sola competencia.</t>
  </si>
  <si>
    <r>
      <rPr>
        <sz val="10"/>
        <rFont val="Arial"/>
        <family val="0"/>
        <charset val="1"/>
      </rPr>
      <t xml:space="preserve">% de estudiantes aprobados</t>
    </r>
    <r>
      <rPr>
        <i val="true"/>
        <sz val="8"/>
        <color rgb="FF7F7F7F"/>
        <rFont val="Arial"/>
        <family val="0"/>
        <charset val="1"/>
      </rPr>
      <t xml:space="preserve"> (medida DAX)</t>
    </r>
  </si>
  <si>
    <t xml:space="preserve">(Estudiantes con nota mayor o igual a 11 / Estudiantes evaluados) x 100 (aprobado: todas sus áreas con promedio de 11 o más)</t>
  </si>
  <si>
    <t xml:space="preserve">Un área sin notas con evidencia no se exige (P19, propuesta). Con filtro de competencia, el promedio de área es esa sola competencia.</t>
  </si>
  <si>
    <t xml:space="preserve">Calificación</t>
  </si>
  <si>
    <r>
      <rPr>
        <sz val="10"/>
        <rFont val="Arial"/>
        <family val="0"/>
        <charset val="1"/>
      </rPr>
      <t xml:space="preserve">Rendimiento promedio</t>
    </r>
    <r>
      <rPr>
        <i val="true"/>
        <sz val="8"/>
        <color rgb="FF7F7F7F"/>
        <rFont val="Arial"/>
        <family val="0"/>
        <charset val="1"/>
      </rPr>
      <t xml:space="preserve"> (medida DAX)</t>
    </r>
  </si>
  <si>
    <t xml:space="preserve">Suma de notas obtenidas / Notas con evidencia</t>
  </si>
  <si>
    <t xml:space="preserve">No incluye competencias sin evidencia.</t>
  </si>
  <si>
    <r>
      <rPr>
        <sz val="10"/>
        <rFont val="Arial"/>
        <family val="0"/>
        <charset val="1"/>
      </rPr>
      <t xml:space="preserve">Variación del rendimiento promedio</t>
    </r>
    <r>
      <rPr>
        <i val="true"/>
        <sz val="8"/>
        <color rgb="FF7F7F7F"/>
        <rFont val="Arial"/>
        <family val="0"/>
        <charset val="1"/>
      </rPr>
      <t xml:space="preserve"> (medida DAX)</t>
    </r>
  </si>
  <si>
    <t xml:space="preserve">Rendimiento promedio del bimestre - Rendimiento promedio del bimestre anterior</t>
  </si>
  <si>
    <t xml:space="preserve">El bimestre anterior de 2026-I es 2025-IV: se usa un orden continuo de bimestres.</t>
  </si>
  <si>
    <r>
      <rPr>
        <sz val="10"/>
        <rFont val="Arial"/>
        <family val="0"/>
        <charset val="1"/>
      </rPr>
      <t xml:space="preserve">Estudiantes evaluados</t>
    </r>
    <r>
      <rPr>
        <i val="true"/>
        <sz val="8"/>
        <color rgb="FF7F7F7F"/>
        <rFont val="Arial"/>
        <family val="0"/>
        <charset val="1"/>
      </rPr>
      <t xml:space="preserve"> (medida DAX)</t>
    </r>
  </si>
  <si>
    <t xml:space="preserve">Cantidad de estudiantes distintos con al menos una nota con evidencia</t>
  </si>
  <si>
    <t xml:space="preserve">Se cuentan personas, no notas.</t>
  </si>
  <si>
    <r>
      <rPr>
        <sz val="10"/>
        <rFont val="Arial"/>
        <family val="0"/>
        <charset val="1"/>
      </rPr>
      <t xml:space="preserve">Estudiantes con nota menor a 11</t>
    </r>
    <r>
      <rPr>
        <i val="true"/>
        <sz val="8"/>
        <color rgb="FF7F7F7F"/>
        <rFont val="Arial"/>
        <family val="0"/>
        <charset val="1"/>
      </rPr>
      <t xml:space="preserve"> (medida DAX)</t>
    </r>
  </si>
  <si>
    <t xml:space="preserve">Cantidad de estudiantes distintos con alguna área de promedio menor a 11 (promedio por área de las competencias con evidencia)</t>
  </si>
  <si>
    <r>
      <rPr>
        <sz val="10"/>
        <rFont val="Arial"/>
        <family val="0"/>
        <charset val="1"/>
      </rPr>
      <t xml:space="preserve">Estudiantes con nota mayor o igual a 11</t>
    </r>
    <r>
      <rPr>
        <i val="true"/>
        <sz val="8"/>
        <color rgb="FF7F7F7F"/>
        <rFont val="Arial"/>
        <family val="0"/>
        <charset val="1"/>
      </rPr>
      <t xml:space="preserve"> (medida DAX)</t>
    </r>
  </si>
  <si>
    <t xml:space="preserve">Cantidad de estudiantes distintos con todas sus áreas de promedio 11 o más (promedio por área de las competencias con evidencia)</t>
  </si>
  <si>
    <t xml:space="preserve">Un área sin notas con evidencia no se exige (P19, propuesta).</t>
  </si>
  <si>
    <r>
      <rPr>
        <sz val="10"/>
        <rFont val="Arial"/>
        <family val="0"/>
        <charset val="1"/>
      </rPr>
      <t xml:space="preserve">Suma de notas obtenidas</t>
    </r>
    <r>
      <rPr>
        <i val="true"/>
        <sz val="8"/>
        <color rgb="FF7F7F7F"/>
        <rFont val="Arial"/>
        <family val="0"/>
        <charset val="1"/>
      </rPr>
      <t xml:space="preserve"> (SUM de NotaVigesimal)</t>
    </r>
  </si>
  <si>
    <t xml:space="preserve">Suma de las notas con evidencia</t>
  </si>
  <si>
    <r>
      <rPr>
        <sz val="10"/>
        <rFont val="Arial"/>
        <family val="0"/>
        <charset val="1"/>
      </rPr>
      <t xml:space="preserve">Notas con evidencia</t>
    </r>
    <r>
      <rPr>
        <i val="true"/>
        <sz val="8"/>
        <color rgb="FF7F7F7F"/>
        <rFont val="Arial"/>
        <family val="0"/>
        <charset val="1"/>
      </rPr>
      <t xml:space="preserve"> (NotasConEvidencia)</t>
    </r>
  </si>
  <si>
    <t xml:space="preserve">Cantidad de notas registradas con valor</t>
  </si>
  <si>
    <t xml:space="preserve">Una competencia sin evidencia no cuenta como 0 ni como desaprobada.</t>
  </si>
  <si>
    <t xml:space="preserve">Matriz bus — Data Warehouse I.E. N° 1217 «Jorge Basadre Grohmann»</t>
  </si>
  <si>
    <t xml:space="preserve">Granularidad (entidad — tiempo)</t>
  </si>
  <si>
    <r>
      <rPr>
        <b val="true"/>
        <sz val="10"/>
        <color rgb="FFF3F3F3"/>
        <rFont val="Arial"/>
        <family val="0"/>
        <charset val="1"/>
      </rPr>
      <t xml:space="preserve">Tiempo</t>
    </r>
    <r>
      <rPr>
        <i val="true"/>
        <sz val="8"/>
        <color rgb="FFD9D9D9"/>
        <rFont val="Arial"/>
        <family val="0"/>
        <charset val="1"/>
      </rPr>
      <t xml:space="preserve"> (DimTiempo)</t>
    </r>
  </si>
  <si>
    <r>
      <rPr>
        <b val="true"/>
        <sz val="10"/>
        <color rgb="FFF3F3F3"/>
        <rFont val="Arial"/>
        <family val="0"/>
        <charset val="1"/>
      </rPr>
      <t xml:space="preserve">Estudiante</t>
    </r>
    <r>
      <rPr>
        <i val="true"/>
        <sz val="8"/>
        <color rgb="FFD9D9D9"/>
        <rFont val="Arial"/>
        <family val="0"/>
        <charset val="1"/>
      </rPr>
      <t xml:space="preserve"> (DimEstudiante)</t>
    </r>
  </si>
  <si>
    <r>
      <rPr>
        <b val="true"/>
        <sz val="10"/>
        <color rgb="FFF3F3F3"/>
        <rFont val="Arial"/>
        <family val="0"/>
        <charset val="1"/>
      </rPr>
      <t xml:space="preserve">Docente</t>
    </r>
    <r>
      <rPr>
        <i val="true"/>
        <sz val="8"/>
        <color rgb="FFD9D9D9"/>
        <rFont val="Arial"/>
        <family val="0"/>
        <charset val="1"/>
      </rPr>
      <t xml:space="preserve"> (DimDocente)</t>
    </r>
  </si>
  <si>
    <r>
      <rPr>
        <b val="true"/>
        <sz val="10"/>
        <color rgb="FFF3F3F3"/>
        <rFont val="Arial"/>
        <family val="0"/>
        <charset val="1"/>
      </rPr>
      <t xml:space="preserve">Nivel académico</t>
    </r>
    <r>
      <rPr>
        <i val="true"/>
        <sz val="8"/>
        <color rgb="FFD9D9D9"/>
        <rFont val="Arial"/>
        <family val="0"/>
        <charset val="1"/>
      </rPr>
      <t xml:space="preserve"> (DimNivelAcademico)</t>
    </r>
  </si>
  <si>
    <r>
      <rPr>
        <b val="true"/>
        <sz val="10"/>
        <color rgb="FFF3F3F3"/>
        <rFont val="Arial"/>
        <family val="0"/>
        <charset val="1"/>
      </rPr>
      <t xml:space="preserve">Cursos</t>
    </r>
    <r>
      <rPr>
        <i val="true"/>
        <sz val="8"/>
        <color rgb="FFD9D9D9"/>
        <rFont val="Arial"/>
        <family val="0"/>
        <charset val="1"/>
      </rPr>
      <t xml:space="preserve"> (DimCurso)</t>
    </r>
  </si>
  <si>
    <r>
      <rPr>
        <b val="true"/>
        <sz val="10"/>
        <color rgb="FFF3F3F3"/>
        <rFont val="Arial"/>
        <family val="0"/>
        <charset val="1"/>
      </rPr>
      <t xml:space="preserve">Tipo de matrícula</t>
    </r>
    <r>
      <rPr>
        <i val="true"/>
        <sz val="8"/>
        <color rgb="FFD9D9D9"/>
        <rFont val="Arial"/>
        <family val="0"/>
        <charset val="1"/>
      </rPr>
      <t xml:space="preserve"> (DimTipoMatricula)</t>
    </r>
  </si>
  <si>
    <t xml:space="preserve">Grano (una fila representa)</t>
  </si>
  <si>
    <t xml:space="preserve">Nota</t>
  </si>
  <si>
    <r>
      <rPr>
        <sz val="10"/>
        <rFont val="Arial"/>
        <family val="0"/>
        <charset val="1"/>
      </rPr>
      <t xml:space="preserve">Matrícula</t>
    </r>
    <r>
      <rPr>
        <i val="true"/>
        <sz val="8"/>
        <color rgb="FF7F7F7F"/>
        <rFont val="Arial"/>
        <family val="0"/>
        <charset val="1"/>
      </rPr>
      <t xml:space="preserve"> (FacMatricula)</t>
    </r>
  </si>
  <si>
    <t xml:space="preserve">Matrícula — Año</t>
  </si>
  <si>
    <t xml:space="preserve">X (3 roles: solicitud, revisión, SIAGIE)</t>
  </si>
  <si>
    <t xml:space="preserve">X</t>
  </si>
  <si>
    <t xml:space="preserve">Una matrícula de un estudiante en un año escolar</t>
  </si>
  <si>
    <t xml:space="preserve">El año escolar es una columna del hecho, no de DimTiempo. El cupo por aula (grano sección + año) vive en este hecho por D30: se toma MAX por año + sección, nunca SUM.</t>
  </si>
  <si>
    <r>
      <rPr>
        <sz val="10"/>
        <rFont val="Arial"/>
        <family val="0"/>
        <charset val="1"/>
      </rPr>
      <t xml:space="preserve">Sesiones</t>
    </r>
    <r>
      <rPr>
        <i val="true"/>
        <sz val="8"/>
        <color rgb="FF7F7F7F"/>
        <rFont val="Arial"/>
        <family val="0"/>
        <charset val="1"/>
      </rPr>
      <t xml:space="preserve"> (FacSesion)</t>
    </r>
  </si>
  <si>
    <t xml:space="preserve">Asignación — Mes y bimestre</t>
  </si>
  <si>
    <t xml:space="preserve">X (mes y bimestre)</t>
  </si>
  <si>
    <t xml:space="preserve">Un docente + curso + sección en un tramo (mes dentro de un bimestre)</t>
  </si>
  <si>
    <t xml:space="preserve">Hecho agregado desde sesiones.csv; la clave de tiempo es el primer día del tramo.</t>
  </si>
  <si>
    <r>
      <rPr>
        <sz val="10"/>
        <rFont val="Arial"/>
        <family val="0"/>
        <charset val="1"/>
      </rPr>
      <t xml:space="preserve">Entrega de material</t>
    </r>
    <r>
      <rPr>
        <i val="true"/>
        <sz val="8"/>
        <color rgb="FF7F7F7F"/>
        <rFont val="Arial"/>
        <family val="0"/>
        <charset val="1"/>
      </rPr>
      <t xml:space="preserve"> (FacEntregaMaterial)</t>
    </r>
  </si>
  <si>
    <t xml:space="preserve">Asignación — Año</t>
  </si>
  <si>
    <t xml:space="preserve">X (año; fecha programada)</t>
  </si>
  <si>
    <t xml:space="preserve">Un docente + curso + sección en un año escolar</t>
  </si>
  <si>
    <t xml:space="preserve">La clave de tiempo es la fecha programada (inicio de clases).</t>
  </si>
  <si>
    <r>
      <rPr>
        <sz val="10"/>
        <rFont val="Arial"/>
        <family val="0"/>
        <charset val="1"/>
      </rPr>
      <t xml:space="preserve">Logro por competencia</t>
    </r>
    <r>
      <rPr>
        <i val="true"/>
        <sz val="8"/>
        <color rgb="FF7F7F7F"/>
        <rFont val="Arial"/>
        <family val="0"/>
        <charset val="1"/>
      </rPr>
      <t xml:space="preserve"> (FacLogroCompetencia)</t>
    </r>
  </si>
  <si>
    <t xml:space="preserve">Calificación — Bimestre</t>
  </si>
  <si>
    <t xml:space="preserve">X (fecha de cierre del bimestre)</t>
  </si>
  <si>
    <t xml:space="preserve">Una competencia de un estudiante en un bimestre</t>
  </si>
  <si>
    <t xml:space="preserve">Grano atómico; la nota sin evidencia es NULL, nunca 0.</t>
  </si>
  <si>
    <t xml:space="preserve">N° de hechos que usan la dimensión</t>
  </si>
  <si>
    <t xml:space="preserve">Archivo origen (CSV)</t>
  </si>
  <si>
    <t xml:space="preserve">Campo(s) origen</t>
  </si>
  <si>
    <t xml:space="preserve">Tabla staging</t>
  </si>
  <si>
    <t xml:space="preserve">Destino (tabla.columna)</t>
  </si>
  <si>
    <t xml:space="preserve">Transformación / regla</t>
  </si>
  <si>
    <t xml:space="preserve">Clave de unión</t>
  </si>
  <si>
    <t xml:space="preserve">Nulos y valores especiales</t>
  </si>
  <si>
    <t xml:space="preserve">Control de calidad</t>
  </si>
  <si>
    <t xml:space="preserve">Script</t>
  </si>
  <si>
    <t xml:space="preserve">Común</t>
  </si>
  <si>
    <t xml:space="preserve">Los 17 CSV (separador ;, UTF-8, fin de línea LF)</t>
  </si>
  <si>
    <t xml:space="preserve">Todas</t>
  </si>
  <si>
    <t xml:space="preserve">stg.&lt;tabla&gt; (17 tablas)</t>
  </si>
  <si>
    <t xml:space="preserve">stg.&lt;tabla&gt;.&lt;campo&gt; (texto NVARCHAR)</t>
  </si>
  <si>
    <t xml:space="preserve">BULK INSERT a través de las vistas stg.vwc_*; recarga total de staging.</t>
  </si>
  <si>
    <t xml:space="preserve">—</t>
  </si>
  <si>
    <t xml:space="preserve">Celda vacía → NULL; no se imputa nada.</t>
  </si>
  <si>
    <t xml:space="preserve">17 tablas OK, 145 305 filas (24/09/2026).</t>
  </si>
  <si>
    <t xml:space="preserve">01</t>
  </si>
  <si>
    <t xml:space="preserve">stg.*</t>
  </si>
  <si>
    <t xml:space="preserve">— (solo lectura)</t>
  </si>
  <si>
    <t xml:space="preserve">Perfila la suciedad del origen por tipo de defecto. No corrige nada.</t>
  </si>
  <si>
    <t xml:space="preserve">Cuantifica los defectos del catálogo (_catalogo_defectos.csv).</t>
  </si>
  <si>
    <t xml:space="preserve">02</t>
  </si>
  <si>
    <t xml:space="preserve">Dimensión</t>
  </si>
  <si>
    <t xml:space="preserve">estudiantes.csv</t>
  </si>
  <si>
    <t xml:space="preserve">CodigoEstudiante</t>
  </si>
  <si>
    <t xml:space="preserve">stg.Estudiante</t>
  </si>
  <si>
    <t xml:space="preserve">dw.DimEstudiante.CodigoEstudiante</t>
  </si>
  <si>
    <t xml:space="preserve">Limpieza de clave: quita CHAR(160), tabulador, CR y espacios. Padrón duplicado: se conserva la fila más completa (DNI válido, fecha, sexo, distrito) con desempate fijo.</t>
  </si>
  <si>
    <t xml:space="preserve">Clave natural; EstudianteKey (IDENTITY) es la sustituta.</t>
  </si>
  <si>
    <t xml:space="preserve">Código vacío: no se carga. Miembro -1 «No definido».</t>
  </si>
  <si>
    <t xml:space="preserve">373 estudiantes + fila -1; UNIQUE (CodigoEstudiante).</t>
  </si>
  <si>
    <t xml:space="preserve">03</t>
  </si>
  <si>
    <t xml:space="preserve">DNI, Distrito</t>
  </si>
  <si>
    <t xml:space="preserve">— (no se cargan)</t>
  </si>
  <si>
    <t xml:space="preserve">Se limpian solo para elegir la fila más completa del padrón duplicado (v6.0).</t>
  </si>
  <si>
    <t xml:space="preserve">ApellidoPaterno, ApellidoMaterno, Nombres</t>
  </si>
  <si>
    <t xml:space="preserve">dw.DimEstudiante.NombreCompleto</t>
  </si>
  <si>
    <t xml:space="preserve">TRIM, doble espacio → uno, «Ã±» → «ñ». NombreCompleto = ApellidoPaterno + ' ' + ApellidoMaterno + ', ' + Nombres.</t>
  </si>
  <si>
    <t xml:space="preserve">Si falta una parte, NombreCompleto queda NULL.</t>
  </si>
  <si>
    <t xml:space="preserve">Prueba de espacios invisibles = 0.</t>
  </si>
  <si>
    <t xml:space="preserve">Sexo</t>
  </si>
  <si>
    <t xml:space="preserve">dw.DimEstudiante.Sexo</t>
  </si>
  <si>
    <t xml:space="preserve">M, MASCULINO, H, 1 → M; F, FEMENINO, MUJER, 2 → F.</t>
  </si>
  <si>
    <t xml:space="preserve">Otro valor → N.</t>
  </si>
  <si>
    <t xml:space="preserve">Solo M, F o N (prueba = 0).</t>
  </si>
  <si>
    <t xml:space="preserve">FechaNacimiento</t>
  </si>
  <si>
    <t xml:space="preserve">dw.DimEstudiante.FechaNacimiento</t>
  </si>
  <si>
    <t xml:space="preserve">Prueba los formatos 103 (dd/mm/aaaa), 105, 23 (ISO) y 101, en ese orden.</t>
  </si>
  <si>
    <t xml:space="preserve">Ilegible → NULL. La edad se calcula en Power BI.</t>
  </si>
  <si>
    <t xml:space="preserve">docentes.csv</t>
  </si>
  <si>
    <t xml:space="preserve">DocenteID</t>
  </si>
  <si>
    <t xml:space="preserve">stg.Docente</t>
  </si>
  <si>
    <t xml:space="preserve">dw.DimDocente.DocenteID</t>
  </si>
  <si>
    <t xml:space="preserve">Limpieza de clave, mayúsculas y «DOC-O» → «DOC-0».</t>
  </si>
  <si>
    <t xml:space="preserve">Clave natural; DocenteKey (IDENTITY) es la sustituta.</t>
  </si>
  <si>
    <t xml:space="preserve">ID vacío: no se carga. Miembro -1 «No definido».</t>
  </si>
  <si>
    <t xml:space="preserve">15 docentes + fila -1.</t>
  </si>
  <si>
    <t xml:space="preserve">ApellidoPaterno, ApellidoMaterno, Nombres, Sexo</t>
  </si>
  <si>
    <t xml:space="preserve">dw.DimDocente.NombreCompleto, Sexo</t>
  </si>
  <si>
    <t xml:space="preserve">Misma regla que en DimEstudiante.</t>
  </si>
  <si>
    <t xml:space="preserve">Sexo no reconocido → N.</t>
  </si>
  <si>
    <t xml:space="preserve">CondicionLaboral</t>
  </si>
  <si>
    <t xml:space="preserve">dw.DimDocente.CondicionLaboral</t>
  </si>
  <si>
    <t xml:space="preserve">NOMBR% → Nombrado; CONT% → Contratado.</t>
  </si>
  <si>
    <t xml:space="preserve">Otro → «No determinado».</t>
  </si>
  <si>
    <t xml:space="preserve">Dentro del catálogo (prueba = 0).</t>
  </si>
  <si>
    <t xml:space="preserve">— (no se carga)</t>
  </si>
  <si>
    <t xml:space="preserve">La V2 no pide la edad del docente.</t>
  </si>
  <si>
    <t xml:space="preserve">secciones.csv</t>
  </si>
  <si>
    <t xml:space="preserve">Grado, Seccion, Ciclo</t>
  </si>
  <si>
    <t xml:space="preserve">stg.Seccion</t>
  </si>
  <si>
    <t xml:space="preserve">dw.DimNivelAcademico.CodigoCorto, Grado, Seccion, Ciclo</t>
  </si>
  <si>
    <t xml:space="preserve">Sin año: CodigoCorto = Grado + Sección (1A … 5B). El ciclo se toma del año más reciente (SCD 1). Turno, tutor y aforo no entran.</t>
  </si>
  <si>
    <t xml:space="preserve">CodigoCorto (UNIQUE)</t>
  </si>
  <si>
    <t xml:space="preserve">Miembro -1 «N/D» (Ciclo «No definido»).</t>
  </si>
  <si>
    <t xml:space="preserve">10 filas + fila -1.</t>
  </si>
  <si>
    <t xml:space="preserve">areas_curriculares.csv</t>
  </si>
  <si>
    <t xml:space="preserve">AreaID, NombreArea</t>
  </si>
  <si>
    <t xml:space="preserve">stg.AreaCurricular</t>
  </si>
  <si>
    <t xml:space="preserve">dw.DimCurso.CursoID, Curso (fila «Todo el curso»)</t>
  </si>
  <si>
    <t xml:space="preserve">Una fila por curso con CompetenciaID 'N/A', TipoCompetencia «No aplica» y Competencia «Todo el curso», para los hechos que no registran competencia (sesiones y material).</t>
  </si>
  <si>
    <t xml:space="preserve">CursoID + CompetenciaID (UNIQUE)</t>
  </si>
  <si>
    <t xml:space="preserve">Miembro -1 «No definido».</t>
  </si>
  <si>
    <t xml:space="preserve">11 filas «Todo el curso».</t>
  </si>
  <si>
    <t xml:space="preserve">competencias.csv + areas_curriculares.csv</t>
  </si>
  <si>
    <t xml:space="preserve">CompetenciaID, NombreCompetencia, TipoCompetencia, AreaID</t>
  </si>
  <si>
    <t xml:space="preserve">stg.Competencia, stg.AreaCurricular</t>
  </si>
  <si>
    <t xml:space="preserve">dw.DimCurso.CompetenciaID, Competencia, TipoCompetencia, CursoID, Curso</t>
  </si>
  <si>
    <t xml:space="preserve">Una fila por competencia con su curso copiado en la misma fila (desnormalizado). Sin FK entre dimensiones (D21, D32).</t>
  </si>
  <si>
    <t xml:space="preserve">AreaID → CursoID</t>
  </si>
  <si>
    <t xml:space="preserve">Área no encontrada → «N/D» / «No definido».</t>
  </si>
  <si>
    <t xml:space="preserve">28 competencias; 0 competencias sin curso (prueba del 03).</t>
  </si>
  <si>
    <t xml:space="preserve">— (calendario generado)</t>
  </si>
  <si>
    <t xml:space="preserve">dw.DimTiempo.TiempoKey, Fecha, Anio, Mes, NombreMes</t>
  </si>
  <si>
    <t xml:space="preserve">Calendario 2024–2027. TiempoKey = AAAAMMDD.</t>
  </si>
  <si>
    <t xml:space="preserve">TiempoKey</t>
  </si>
  <si>
    <t xml:space="preserve">-1 = no aplica; -2 = no registrado (Fecha, Año y Mes en NULL).</t>
  </si>
  <si>
    <t xml:space="preserve">1 461 fechas + 2 especiales.</t>
  </si>
  <si>
    <t xml:space="preserve">notas_competencias.csv (cierres) + sesiones.csv</t>
  </si>
  <si>
    <t xml:space="preserve">FechaCierreBimestre; FechaSesion (primera del año)</t>
  </si>
  <si>
    <t xml:space="preserve">stg.Sesion</t>
  </si>
  <si>
    <t xml:space="preserve">dw.DimTiempo.Bimestre, NombreBimestre</t>
  </si>
  <si>
    <t xml:space="preserve">Cierres oficiales (lista del 03): 2025 → 23/05, 01/08, 24/10, 19/12; 2026 → 22/05, 31/07. Antes del inicio de clases → 0; hasta el cierre n → n; año con cierres pendientes → bimestre siguiente «(sin cierre)».</t>
  </si>
  <si>
    <t xml:space="preserve">0 = fuera del periodo escolar o sin calendario académico.</t>
  </si>
  <si>
    <t xml:space="preserve">Primer y último día de cada bimestre (control del 03).</t>
  </si>
  <si>
    <t xml:space="preserve">matricula.csv</t>
  </si>
  <si>
    <t xml:space="preserve">TipoMatricula, ViaMatricula, FaseProceso, EstadoMatricula</t>
  </si>
  <si>
    <t xml:space="preserve">stg.Matricula</t>
  </si>
  <si>
    <t xml:space="preserve">dw.DimTipoMatricula.TipoMatricula, ViaMatricula, FaseProceso, EstadoMatricula</t>
  </si>
  <si>
    <t xml:space="preserve">Corrige typos (Ingresente, Aprovado…). Vía corregida por tipo: ingresante o traslado → solicitud de vacante; continuador o repitente → ratificación.</t>
  </si>
  <si>
    <t xml:space="preserve">Combinación de los 4 campos (UNIQUE)</t>
  </si>
  <si>
    <t xml:space="preserve">Miembro -1.</t>
  </si>
  <si>
    <t xml:space="preserve">Misma regla que el 04 (evita THROW 51004).</t>
  </si>
  <si>
    <t xml:space="preserve">1.0 Matrícula</t>
  </si>
  <si>
    <t xml:space="preserve">MatriculaID, Anio, CodigoEstudiante</t>
  </si>
  <si>
    <t xml:space="preserve">dm_matricula.FacMatricula.MatriculaID (dimensión degenerada), AnioEscolar, EstudianteKey</t>
  </si>
  <si>
    <t xml:space="preserve">Limpieza de claves. AnioEscolar explícito (no se deduce de las fechas). Un registro por estudiante + año: se prefiere el ID sin «-BIS».</t>
  </si>
  <si>
    <t xml:space="preserve">CodigoEstudiante → DimEstudiante.CodigoEstudiante</t>
  </si>
  <si>
    <t xml:space="preserve">Sin padrón (6) y duplicadas (9): fuera del hecho, siguen en staging.</t>
  </si>
  <si>
    <t xml:space="preserve">615 − 9 − 6 = 600. UNIQUE (AnioEscolar, EstudianteKey) y UNIQUE (MatriculaID).</t>
  </si>
  <si>
    <t xml:space="preserve">04</t>
  </si>
  <si>
    <t xml:space="preserve">matricula.csv + secciones.csv</t>
  </si>
  <si>
    <t xml:space="preserve">SeccionID, Anio / Grado, Seccion</t>
  </si>
  <si>
    <t xml:space="preserve">stg.Matricula, stg.Seccion</t>
  </si>
  <si>
    <t xml:space="preserve">FacMatricula.NivelAcademicoKey</t>
  </si>
  <si>
    <t xml:space="preserve">SeccionID + año → grado y sección → CodigoCorto.</t>
  </si>
  <si>
    <t xml:space="preserve">DimNivelAcademico.CodigoCorto</t>
  </si>
  <si>
    <t xml:space="preserve">Sin sección → THROW 51004.</t>
  </si>
  <si>
    <t xml:space="preserve">Aforo, Anio</t>
  </si>
  <si>
    <t xml:space="preserve">FacMatricula.CupoMaximoAula</t>
  </si>
  <si>
    <t xml:space="preserve">Aforo de la sección en el año de la matrícula; se repite en cada matrícula del aula (D30).</t>
  </si>
  <si>
    <t xml:space="preserve">SeccionID + año</t>
  </si>
  <si>
    <t xml:space="preserve">Sin aforo o ≤ 0 → THROW 51004.</t>
  </si>
  <si>
    <t xml:space="preserve">CHECK &gt; 0. En consultas: MAX por año + sección, nunca SUM.</t>
  </si>
  <si>
    <t xml:space="preserve">FacMatricula.TipoMatriculaKey</t>
  </si>
  <si>
    <t xml:space="preserve">Misma normalización que el 03 (vía corregida por tipo).</t>
  </si>
  <si>
    <t xml:space="preserve">Los 4 campos → DimTipoMatricula</t>
  </si>
  <si>
    <t xml:space="preserve">Combinación inexistente → THROW 51004.</t>
  </si>
  <si>
    <t xml:space="preserve">Vías corregidas: control en pantalla, no se guarda.</t>
  </si>
  <si>
    <t xml:space="preserve">FechaSolicitud, FechaRevision</t>
  </si>
  <si>
    <t xml:space="preserve">FacMatricula.FechaSolicitudKey, FechaRevisionKey</t>
  </si>
  <si>
    <t xml:space="preserve">Formatos dd/mm/aa, dd/mm/aaaa, dd-mm-aaaa e ISO → clave AAAAMMDD.</t>
  </si>
  <si>
    <t xml:space="preserve">DimTiempo.TiempoKey (roles)</t>
  </si>
  <si>
    <t xml:space="preserve">Ratificación → -1 (no le corresponde). Requerida vacía o ilegible → -2: no se adivina (D13).</t>
  </si>
  <si>
    <t xml:space="preserve">Toda clave existe en DimTiempo (THROW 51004).</t>
  </si>
  <si>
    <t xml:space="preserve">FechaRegistroSiagie</t>
  </si>
  <si>
    <t xml:space="preserve">FacMatricula.FechaSiagieKey</t>
  </si>
  <si>
    <t xml:space="preserve">Mismo tratamiento de formatos.</t>
  </si>
  <si>
    <t xml:space="preserve">DimTiempo.TiempoKey (rol)</t>
  </si>
  <si>
    <t xml:space="preserve">Rechazada o sin fecha válida → -2.</t>
  </si>
  <si>
    <t xml:space="preserve">FechaAsignacionVacante</t>
  </si>
  <si>
    <t xml:space="preserve">Ninguna medida de la V2 la usa (v6.2).</t>
  </si>
  <si>
    <t xml:space="preserve">EstadoMatricula</t>
  </si>
  <si>
    <t xml:space="preserve">FacMatricula.MatriculasSolicitadas, MatriculasValidadas, MatriculasRechazadas, VacantesOcupadas</t>
  </si>
  <si>
    <t xml:space="preserve">Solicitada = 1 por matrícula; validada o rechazada según el estado; ocupada = validada.</t>
  </si>
  <si>
    <t xml:space="preserve">CHECK: validadas + rechazadas = 1; ocupadas = validadas. 579 validadas, 21 rechazadas.</t>
  </si>
  <si>
    <t xml:space="preserve">FacMatricula.DiasValidacion</t>
  </si>
  <si>
    <t xml:space="preserve">Días entre solicitud y revisión; solo solicitudes de vacante aprobadas con revisión ≥ solicitud.</t>
  </si>
  <si>
    <t xml:space="preserve">Ratificación, rechazada o fechas no válidas → NULL (nunca 0 días).</t>
  </si>
  <si>
    <t xml:space="preserve">CHECK: días ≥ 0.</t>
  </si>
  <si>
    <t xml:space="preserve">Observacion</t>
  </si>
  <si>
    <t xml:space="preserve">El motivo del rechazo queda en staging (v6.1).</t>
  </si>
  <si>
    <t xml:space="preserve">2.0 Preparación</t>
  </si>
  <si>
    <t xml:space="preserve">carga_horaria.csv</t>
  </si>
  <si>
    <t xml:space="preserve">Anio, DocenteID, AreaID, SeccionID</t>
  </si>
  <si>
    <t xml:space="preserve">stg.CargaHoraria</t>
  </si>
  <si>
    <t xml:space="preserve">dm_preparacion.FacSesion y FacEntregaMaterial: DocenteKey, CursoKey, NivelAcademicoKey</t>
  </si>
  <si>
    <t xml:space="preserve">El docente responsable sale de la carga horaria, no del ID escrito en sesiones o entregas (D12). El curso apunta a la fila «Todo el curso» de DimCurso.</t>
  </si>
  <si>
    <t xml:space="preserve">Año + área + sección</t>
  </si>
  <si>
    <t xml:space="preserve">Clave incompleta → 51052; dos docentes para la misma área y sección → 51053; sin dimensión → 51054.</t>
  </si>
  <si>
    <t xml:space="preserve">Una persona por área + sección + año.</t>
  </si>
  <si>
    <t xml:space="preserve">05</t>
  </si>
  <si>
    <t xml:space="preserve">sesiones.csv</t>
  </si>
  <si>
    <t xml:space="preserve">SesionID, Anio, AreaID, SeccionID, FechaSesion</t>
  </si>
  <si>
    <t xml:space="preserve">FacSesion.TramoTiempoKey</t>
  </si>
  <si>
    <t xml:space="preserve">Descarta copias «-DUP». Tramo = mes dentro de su bimestre; la clave es el primer día del tramo en DimTiempo.</t>
  </si>
  <si>
    <t xml:space="preserve">Año + área + sección → carga horaria; fecha → DimTiempo</t>
  </si>
  <si>
    <t xml:space="preserve">Sin asignación (28, sección 9Z) o fecha inválida → fuera del hecho.</t>
  </si>
  <si>
    <t xml:space="preserve">6 425 − 45 − 28 = 6 352. Colisión → 51050; tramo inexistente → 51049.</t>
  </si>
  <si>
    <t xml:space="preserve">EstadoSesion, MinutosRetraso</t>
  </si>
  <si>
    <t xml:space="preserve">FacSesion.SesionesProgramadas, SesionesDictadasHorario, SesionesDictadasRetraso, IncidenciasProgramacion</t>
  </si>
  <si>
    <t xml:space="preserve">Estado normalizado. En horario = Dictada con 0 minutos; con retraso = Dictada con retraso o Dictada con minutos &gt; 0; incidencias = reprogramadas + no dictadas (P16).</t>
  </si>
  <si>
    <t xml:space="preserve">Estado ilegible → «Desconocida»: cuenta como programada. Dictada con minutos negativos: solo programada (34 sesiones).</t>
  </si>
  <si>
    <t xml:space="preserve">CHECK: horario + retraso + incidencias ≤ programadas.</t>
  </si>
  <si>
    <t xml:space="preserve">HorasPedagogicas, RecursosProgramados, RecursosUtilizados, UsoRecursoTIC, MinutosRetraso</t>
  </si>
  <si>
    <t xml:space="preserve">— (controles del 05)</t>
  </si>
  <si>
    <t xml:space="preserve">Se calculan y se muestran como control; no se guardan (v6.4).</t>
  </si>
  <si>
    <t xml:space="preserve">entrega_materiales.csv + materiales.csv</t>
  </si>
  <si>
    <t xml:space="preserve">MaterialID, AreaID, Grado, TipoMaterial</t>
  </si>
  <si>
    <t xml:space="preserve">stg.EntregaMaterial, stg.Material</t>
  </si>
  <si>
    <t xml:space="preserve">— (validación)</t>
  </si>
  <si>
    <t xml:space="preserve">El catálogo (MaterialID) decide si es texto o cuaderno; el área y el grado del material deben coincidir con la entrega.</t>
  </si>
  <si>
    <t xml:space="preserve">MaterialID</t>
  </si>
  <si>
    <t xml:space="preserve">Sin catálogo o área/grado distintos → 51058; entrega repetida → 51059.</t>
  </si>
  <si>
    <t xml:space="preserve">MaterialID único en el catálogo (51056).</t>
  </si>
  <si>
    <t xml:space="preserve">entrega_materiales.csv</t>
  </si>
  <si>
    <t xml:space="preserve">FechaEntregaProgramada</t>
  </si>
  <si>
    <t xml:space="preserve">stg.EntregaMaterial</t>
  </si>
  <si>
    <t xml:space="preserve">FacEntregaMaterial.FechaProgramadaKey</t>
  </si>
  <si>
    <t xml:space="preserve">Inicio de clases del año = fecha programada más frecuente (17/03/2025 y 16/03/2026).</t>
  </si>
  <si>
    <t xml:space="preserve">DimTiempo.TiempoKey</t>
  </si>
  <si>
    <t xml:space="preserve">Fecha ilegible → inicio de clases (se marca en el control).</t>
  </si>
  <si>
    <t xml:space="preserve">Fuera del periodo escolar → 51049.</t>
  </si>
  <si>
    <t xml:space="preserve">CantidadPorEntregar, CantidadEntregadaATiempo, CantidadEntregadaDestiempo, CantidadNoEntregada, CantidadRecibidaIE</t>
  </si>
  <si>
    <t xml:space="preserve">FacEntregaMaterial.MaterialesPorEntregar, MaterialesEntregadosATiempo</t>
  </si>
  <si>
    <t xml:space="preserve">Ejemplares. A tiempo = por entregar − destiempo − no entregada (21 cantidades reconstruidas). Se suman por docente + curso + sección + año.</t>
  </si>
  <si>
    <t xml:space="preserve">Año + área + sección → carga horaria</t>
  </si>
  <si>
    <t xml:space="preserve">Balance inviable → 51058.</t>
  </si>
  <si>
    <t xml:space="preserve">CHECK: 0 ≤ a tiempo ≤ por entregar; recibidos = por entregar − no entregados.</t>
  </si>
  <si>
    <t xml:space="preserve">FechaRecepcionIE, Observacion, TituloMaterial</t>
  </si>
  <si>
    <t xml:space="preserve">— (staging y controles)</t>
  </si>
  <si>
    <t xml:space="preserve">Recepción a 14 días y desglose texto/cuaderno: controles del 05.</t>
  </si>
  <si>
    <t xml:space="preserve">Recepción vacía: se cuenta en el control.</t>
  </si>
  <si>
    <t xml:space="preserve">4.0 Aprendizajes</t>
  </si>
  <si>
    <t xml:space="preserve">notas_competencias.csv</t>
  </si>
  <si>
    <t xml:space="preserve">CodigoEstudiante, SeccionID, Anio</t>
  </si>
  <si>
    <t xml:space="preserve">stg.NotaCompetencia</t>
  </si>
  <si>
    <t xml:space="preserve">dm_aprendizajes.FacLogroCompetencia.EstudianteKey, NivelAcademicoKey</t>
  </si>
  <si>
    <t xml:space="preserve">Limpieza de claves. Exige matrícula aprobada del estudiante en esa sección y año.</t>
  </si>
  <si>
    <t xml:space="preserve">DimEstudiante; stg.Seccion → DimNivelAcademico; FacMatricula (año + estudiante + sección)</t>
  </si>
  <si>
    <t xml:space="preserve">Fuera del padrón, sección desconocida o sin matrícula aprobada → stg.BitacoraNota.</t>
  </si>
  <si>
    <t xml:space="preserve">0 casos de ese tipo.</t>
  </si>
  <si>
    <t xml:space="preserve">06</t>
  </si>
  <si>
    <t xml:space="preserve">AreaID, CompetenciaID</t>
  </si>
  <si>
    <t xml:space="preserve">FacLogroCompetencia.CursoKey (fila de la competencia)</t>
  </si>
  <si>
    <t xml:space="preserve">CP-O3 → CP-03, «CP 07» → CP-07, cp-05 → CP-05; comparación binaria (D15). El curso de la competencia debe ser el área de la fila.</t>
  </si>
  <si>
    <t xml:space="preserve">DimCurso.CompetenciaID; DimCurso.CursoID con CompetenciaID 'N/A' para validar el área</t>
  </si>
  <si>
    <t xml:space="preserve">Competencia desconocida (32) o incompatible con el área (87) → stg.BitacoraNota.</t>
  </si>
  <si>
    <t xml:space="preserve">FechaCierreBimestre, Bimestre</t>
  </si>
  <si>
    <t xml:space="preserve">FacLogroCompetencia.FechaCierreKey</t>
  </si>
  <si>
    <t xml:space="preserve">La fecha informada debe caer en un bimestre de DimTiempo; la clave es el último día de ese bimestre (cierre oficial). El bimestre del archivo solo mide la corrección y desempata copias.</t>
  </si>
  <si>
    <t xml:space="preserve">DimTiempo</t>
  </si>
  <si>
    <t xml:space="preserve">Periodo desconocido → stg.BitacoraNota (0 casos).</t>
  </si>
  <si>
    <t xml:space="preserve">0 fechas distintas del cierre oficial.</t>
  </si>
  <si>
    <t xml:space="preserve">notas_competencias.csv + carga_horaria.csv</t>
  </si>
  <si>
    <t xml:space="preserve">stg.NotaCompetencia, stg.CargaHoraria</t>
  </si>
  <si>
    <t xml:space="preserve">FacLogroCompetencia.DocenteKey</t>
  </si>
  <si>
    <t xml:space="preserve">Docente de la carga horaria (área + sección + año), no el ID escrito en la nota (D12).</t>
  </si>
  <si>
    <t xml:space="preserve">Año + sección + área</t>
  </si>
  <si>
    <t xml:space="preserve">Sin asignación docente → stg.BitacoraNota.</t>
  </si>
  <si>
    <t xml:space="preserve">Asignación única (THROW 51062).</t>
  </si>
  <si>
    <t xml:space="preserve">NotaVigesimal</t>
  </si>
  <si>
    <t xml:space="preserve">FacLogroCompetencia.NotaVigesimal</t>
  </si>
  <si>
    <t xml:space="preserve">Coma → punto; decimales redondeados a entero; letra → punto medio de su rango (C 5, B 12, A 15,5, AD 19).</t>
  </si>
  <si>
    <t xml:space="preserve">Vacía, «No se…» o «SIN EVIDENCIA» → NULL, nunca 0 (D06). Fuera de 0–20 o texto irreconocible → bitácora (198).</t>
  </si>
  <si>
    <t xml:space="preserve">148 letras convertidas.</t>
  </si>
  <si>
    <t xml:space="preserve">FacLogroCompetencia.NotasConEvidencia</t>
  </si>
  <si>
    <t xml:space="preserve">1 si la competencia tiene nota; 0 si no tiene evidencia.</t>
  </si>
  <si>
    <t xml:space="preserve">CHECK: (0 y nota NULL) o (1 y nota 0–20). 44 436 con evidencia, 379 sin evidencia.</t>
  </si>
  <si>
    <t xml:space="preserve">Fila completa (duplicados)</t>
  </si>
  <si>
    <t xml:space="preserve">stg.BitacoraNota (Motivo + campos originales)</t>
  </si>
  <si>
    <t xml:space="preserve">Duplicados en estudiante + competencia + bimestre: gana el código escrito tal cual, luego el bimestre correcto y la carga más reciente.</t>
  </si>
  <si>
    <t xml:space="preserve">FechaCierreKey + EstudianteKey + CursoKey</t>
  </si>
  <si>
    <t xml:space="preserve">Notas distintas con la misma prioridad → THROW 51065.</t>
  </si>
  <si>
    <t xml:space="preserve">45 396 = 44 815 en el hecho + 581 en bitácora (264 duplicados, 198 nota inválida, 87 área incompatible, 32 competencia desconocida). Si no cuadra → 51066.</t>
  </si>
  <si>
    <t xml:space="preserve">Control</t>
  </si>
  <si>
    <t xml:space="preserve">— (tablas stg, dw y dm_*)</t>
  </si>
  <si>
    <t xml:space="preserve">Conteo de filas</t>
  </si>
  <si>
    <t xml:space="preserve">ctl.LoteETL, ctl.ConteoLote</t>
  </si>
  <si>
    <t xml:space="preserve">Una fila por corrida del job; freno si una tabla de staging llega vacía o cae más del 50 % frente a la última corrida exitosa.</t>
  </si>
  <si>
    <t xml:space="preserve">LoteID</t>
  </si>
  <si>
    <t xml:space="preserve">Lote «Exitoso» solo si los hechos no están vacíos y las notas cuadran.</t>
  </si>
  <si>
    <t xml:space="preserve">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</si>
</sst>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3F3F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7F7F7F"/>
      <name val="Arial"/>
      <family val="0"/>
      <charset val="1"/>
    </font>
    <font>
      <sz val="10"/>
      <color theme="1"/>
      <name val="Arial"/>
      <family val="0"/>
      <charset val="1"/>
    </font>
    <font>
      <sz val="10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2"/>
      <color rgb="FF040063"/>
      <name val="Arial"/>
      <family val="0"/>
      <charset val="1"/>
    </font>
    <font>
      <i val="true"/>
      <sz val="8"/>
      <color rgb="FFD9D9D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40063"/>
        <bgColor rgb="FF000080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E06666"/>
      </patternFill>
    </fill>
    <fill>
      <patternFill patternType="solid">
        <fgColor rgb="FFFF9900"/>
        <bgColor rgb="FFFFCC00"/>
      </patternFill>
    </fill>
    <fill>
      <patternFill patternType="solid">
        <fgColor rgb="FFE06666"/>
        <bgColor rgb="FFC27BA0"/>
      </patternFill>
    </fill>
    <fill>
      <patternFill patternType="solid">
        <fgColor rgb="FFEA9999"/>
        <bgColor rgb="FFC27BA0"/>
      </patternFill>
    </fill>
    <fill>
      <patternFill patternType="solid">
        <fgColor rgb="FF93C47D"/>
        <bgColor rgb="FF999999"/>
      </patternFill>
    </fill>
    <fill>
      <patternFill patternType="solid">
        <fgColor rgb="FFC9DAF8"/>
        <bgColor rgb="FFD9D9D9"/>
      </patternFill>
    </fill>
    <fill>
      <patternFill patternType="solid">
        <fgColor rgb="FF16365C"/>
        <bgColor rgb="FF333333"/>
      </patternFill>
    </fill>
    <fill>
      <patternFill patternType="solid">
        <fgColor rgb="FFF3F3F3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/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6365C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40063"/>
      <rgbColor rgb="FF808000"/>
      <rgbColor rgb="FF800080"/>
      <rgbColor rgb="FF008080"/>
      <rgbColor rgb="FFD9D9D9"/>
      <rgbColor rgb="FF7F7F7F"/>
      <rgbColor rgb="FF9999FF"/>
      <rgbColor rgb="FF993366"/>
      <rgbColor rgb="FFFFFFCC"/>
      <rgbColor rgb="FFCCFFFF"/>
      <rgbColor rgb="FF660066"/>
      <rgbColor rgb="FFE06666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C27BA0"/>
      <rgbColor rgb="FFFFCC99"/>
      <rgbColor rgb="FF3366FF"/>
      <rgbColor rgb="FF33CCCC"/>
      <rgbColor rgb="FF93C47D"/>
      <rgbColor rgb="FFFFCC00"/>
      <rgbColor rgb="FFFF9900"/>
      <rgbColor rgb="FFFF6600"/>
      <rgbColor rgb="FF666699"/>
      <rgbColor rgb="FF999999"/>
      <rgbColor rgb="FF1636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C47D"/>
    <pageSetUpPr fitToPage="true"/>
  </sheetPr>
  <dimension ref="A1:AG10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G3" activePane="bottomLeft" state="frozen"/>
      <selection pane="topLeft" activeCell="A1" activeCellId="0" sqref="A1"/>
      <selection pane="bottomLeft" activeCell="G3" activeCellId="0" sqref="G3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38.71"/>
    <col collapsed="false" customWidth="true" hidden="false" outlineLevel="0" max="7" min="7" style="1" width="12.15"/>
    <col collapsed="false" customWidth="true" hidden="false" outlineLevel="0" max="8" min="8" style="1" width="34"/>
    <col collapsed="false" customWidth="true" hidden="false" outlineLevel="0" max="9" min="9" style="1" width="13"/>
    <col collapsed="false" customWidth="true" hidden="false" outlineLevel="0" max="20" min="10" style="1" width="10.57"/>
    <col collapsed="false" customWidth="true" hidden="false" outlineLevel="0" max="21" min="21" style="1" width="13"/>
    <col collapsed="false" customWidth="true" hidden="false" outlineLevel="0" max="31" min="22" style="1" width="10.57"/>
    <col collapsed="false" customWidth="true" hidden="false" outlineLevel="0" max="32" min="32" style="1" width="24"/>
    <col collapsed="false" customWidth="true" hidden="false" outlineLevel="0" max="33" min="33" style="1" width="48"/>
  </cols>
  <sheetData>
    <row r="1" customFormat="false" ht="4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3"/>
      <c r="L1" s="3"/>
      <c r="M1" s="3"/>
      <c r="N1" s="4" t="s">
        <v>9</v>
      </c>
      <c r="O1" s="4"/>
      <c r="P1" s="4"/>
      <c r="Q1" s="4"/>
      <c r="R1" s="5" t="s">
        <v>10</v>
      </c>
      <c r="S1" s="5"/>
      <c r="T1" s="5"/>
      <c r="U1" s="6" t="s">
        <v>11</v>
      </c>
      <c r="V1" s="6"/>
      <c r="W1" s="6"/>
      <c r="X1" s="7" t="s">
        <v>12</v>
      </c>
      <c r="Y1" s="7"/>
      <c r="Z1" s="7"/>
      <c r="AA1" s="7"/>
      <c r="AB1" s="8" t="s">
        <v>13</v>
      </c>
      <c r="AC1" s="8"/>
      <c r="AD1" s="8"/>
      <c r="AE1" s="8"/>
      <c r="AF1" s="2" t="s">
        <v>14</v>
      </c>
      <c r="AG1" s="2" t="s">
        <v>15</v>
      </c>
    </row>
    <row r="2" customFormat="false" ht="57.75" hidden="false" customHeight="true" outlineLevel="0" collapsed="false">
      <c r="A2" s="2"/>
      <c r="B2" s="2"/>
      <c r="C2" s="2"/>
      <c r="D2" s="9" t="s">
        <v>16</v>
      </c>
      <c r="E2" s="9" t="s">
        <v>17</v>
      </c>
      <c r="F2" s="2"/>
      <c r="G2" s="2"/>
      <c r="H2" s="2"/>
      <c r="I2" s="2"/>
      <c r="J2" s="10" t="s">
        <v>18</v>
      </c>
      <c r="K2" s="10" t="s">
        <v>19</v>
      </c>
      <c r="L2" s="10" t="s">
        <v>20</v>
      </c>
      <c r="M2" s="10" t="s">
        <v>21</v>
      </c>
      <c r="N2" s="10" t="s">
        <v>22</v>
      </c>
      <c r="O2" s="10" t="s">
        <v>19</v>
      </c>
      <c r="P2" s="10" t="s">
        <v>20</v>
      </c>
      <c r="Q2" s="10" t="s">
        <v>23</v>
      </c>
      <c r="R2" s="10" t="s">
        <v>24</v>
      </c>
      <c r="S2" s="10" t="s">
        <v>25</v>
      </c>
      <c r="T2" s="10" t="s">
        <v>26</v>
      </c>
      <c r="U2" s="10" t="s">
        <v>27</v>
      </c>
      <c r="V2" s="10" t="s">
        <v>28</v>
      </c>
      <c r="W2" s="10" t="s">
        <v>29</v>
      </c>
      <c r="X2" s="10" t="s">
        <v>30</v>
      </c>
      <c r="Y2" s="10" t="s">
        <v>31</v>
      </c>
      <c r="Z2" s="10" t="s">
        <v>32</v>
      </c>
      <c r="AA2" s="10" t="s">
        <v>33</v>
      </c>
      <c r="AB2" s="10" t="s">
        <v>34</v>
      </c>
      <c r="AC2" s="10" t="s">
        <v>35</v>
      </c>
      <c r="AD2" s="10" t="s">
        <v>36</v>
      </c>
      <c r="AE2" s="10" t="s">
        <v>37</v>
      </c>
      <c r="AF2" s="2"/>
      <c r="AG2" s="2"/>
    </row>
    <row r="3" customFormat="false" ht="30" hidden="false" customHeight="true" outlineLevel="0" collapsed="false">
      <c r="A3" s="11" t="s">
        <v>38</v>
      </c>
      <c r="B3" s="12" t="s">
        <v>39</v>
      </c>
      <c r="C3" s="13" t="s">
        <v>40</v>
      </c>
      <c r="D3" s="11" t="s">
        <v>41</v>
      </c>
      <c r="E3" s="11" t="s">
        <v>42</v>
      </c>
      <c r="F3" s="13" t="s">
        <v>43</v>
      </c>
      <c r="G3" s="11" t="s">
        <v>44</v>
      </c>
      <c r="H3" s="14" t="s">
        <v>45</v>
      </c>
      <c r="I3" s="12" t="s">
        <v>46</v>
      </c>
      <c r="J3" s="11" t="s">
        <v>47</v>
      </c>
      <c r="K3" s="11" t="s">
        <v>47</v>
      </c>
      <c r="L3" s="11" t="s">
        <v>47</v>
      </c>
      <c r="M3" s="11" t="s">
        <v>47</v>
      </c>
      <c r="N3" s="11"/>
      <c r="O3" s="11"/>
      <c r="P3" s="11"/>
      <c r="Q3" s="11"/>
      <c r="R3" s="11" t="s">
        <v>47</v>
      </c>
      <c r="S3" s="11" t="s">
        <v>47</v>
      </c>
      <c r="T3" s="11" t="s">
        <v>47</v>
      </c>
      <c r="U3" s="11"/>
      <c r="V3" s="11"/>
      <c r="W3" s="11"/>
      <c r="X3" s="11" t="s">
        <v>47</v>
      </c>
      <c r="Y3" s="11" t="s">
        <v>47</v>
      </c>
      <c r="Z3" s="11" t="s">
        <v>47</v>
      </c>
      <c r="AA3" s="11" t="s">
        <v>47</v>
      </c>
      <c r="AB3" s="11" t="s">
        <v>47</v>
      </c>
      <c r="AC3" s="11"/>
      <c r="AD3" s="11" t="s">
        <v>47</v>
      </c>
      <c r="AE3" s="11" t="s">
        <v>47</v>
      </c>
      <c r="AF3" s="14" t="s">
        <v>48</v>
      </c>
      <c r="AG3" s="14" t="s">
        <v>49</v>
      </c>
    </row>
    <row r="4" customFormat="false" ht="30" hidden="false" customHeight="true" outlineLevel="0" collapsed="false">
      <c r="A4" s="11"/>
      <c r="B4" s="11"/>
      <c r="C4" s="11"/>
      <c r="D4" s="11" t="s">
        <v>41</v>
      </c>
      <c r="E4" s="11" t="s">
        <v>42</v>
      </c>
      <c r="F4" s="13" t="s">
        <v>50</v>
      </c>
      <c r="G4" s="11" t="s">
        <v>44</v>
      </c>
      <c r="H4" s="14" t="s">
        <v>51</v>
      </c>
      <c r="I4" s="12" t="s">
        <v>46</v>
      </c>
      <c r="J4" s="11" t="s">
        <v>47</v>
      </c>
      <c r="K4" s="11" t="s">
        <v>47</v>
      </c>
      <c r="L4" s="11" t="s">
        <v>47</v>
      </c>
      <c r="M4" s="11" t="s">
        <v>47</v>
      </c>
      <c r="N4" s="11"/>
      <c r="O4" s="11"/>
      <c r="P4" s="11"/>
      <c r="Q4" s="11"/>
      <c r="R4" s="11" t="s">
        <v>47</v>
      </c>
      <c r="S4" s="11" t="s">
        <v>47</v>
      </c>
      <c r="T4" s="11" t="s">
        <v>47</v>
      </c>
      <c r="U4" s="11"/>
      <c r="V4" s="11"/>
      <c r="W4" s="11"/>
      <c r="X4" s="11" t="s">
        <v>47</v>
      </c>
      <c r="Y4" s="11" t="s">
        <v>47</v>
      </c>
      <c r="Z4" s="11" t="s">
        <v>47</v>
      </c>
      <c r="AA4" s="11" t="s">
        <v>47</v>
      </c>
      <c r="AB4" s="11" t="s">
        <v>47</v>
      </c>
      <c r="AC4" s="11"/>
      <c r="AD4" s="11" t="s">
        <v>47</v>
      </c>
      <c r="AE4" s="11" t="s">
        <v>47</v>
      </c>
      <c r="AF4" s="14"/>
      <c r="AG4" s="14" t="s">
        <v>52</v>
      </c>
    </row>
    <row r="5" customFormat="false" ht="30" hidden="false" customHeight="true" outlineLevel="0" collapsed="false">
      <c r="A5" s="11"/>
      <c r="B5" s="11"/>
      <c r="C5" s="11"/>
      <c r="D5" s="11" t="s">
        <v>41</v>
      </c>
      <c r="E5" s="11" t="s">
        <v>42</v>
      </c>
      <c r="F5" s="13" t="s">
        <v>53</v>
      </c>
      <c r="G5" s="11" t="s">
        <v>54</v>
      </c>
      <c r="H5" s="14" t="s">
        <v>55</v>
      </c>
      <c r="I5" s="12" t="s">
        <v>56</v>
      </c>
      <c r="J5" s="11" t="s">
        <v>47</v>
      </c>
      <c r="K5" s="11" t="s">
        <v>47</v>
      </c>
      <c r="L5" s="11" t="s">
        <v>47</v>
      </c>
      <c r="M5" s="11" t="s">
        <v>47</v>
      </c>
      <c r="N5" s="11"/>
      <c r="O5" s="11"/>
      <c r="P5" s="11"/>
      <c r="Q5" s="11"/>
      <c r="R5" s="11" t="s">
        <v>47</v>
      </c>
      <c r="S5" s="11" t="s">
        <v>47</v>
      </c>
      <c r="T5" s="11" t="s">
        <v>47</v>
      </c>
      <c r="U5" s="11"/>
      <c r="V5" s="11"/>
      <c r="W5" s="11"/>
      <c r="X5" s="11" t="s">
        <v>47</v>
      </c>
      <c r="Y5" s="11" t="s">
        <v>47</v>
      </c>
      <c r="Z5" s="11" t="s">
        <v>47</v>
      </c>
      <c r="AA5" s="11" t="s">
        <v>47</v>
      </c>
      <c r="AB5" s="11" t="s">
        <v>47</v>
      </c>
      <c r="AC5" s="11"/>
      <c r="AD5" s="11" t="s">
        <v>47</v>
      </c>
      <c r="AE5" s="11" t="s">
        <v>47</v>
      </c>
      <c r="AF5" s="14"/>
      <c r="AG5" s="14" t="s">
        <v>57</v>
      </c>
    </row>
    <row r="6" customFormat="false" ht="30" hidden="false" customHeight="true" outlineLevel="0" collapsed="false">
      <c r="A6" s="11"/>
      <c r="B6" s="11"/>
      <c r="C6" s="11"/>
      <c r="D6" s="11" t="s">
        <v>41</v>
      </c>
      <c r="E6" s="11" t="s">
        <v>42</v>
      </c>
      <c r="F6" s="13" t="s">
        <v>58</v>
      </c>
      <c r="G6" s="11" t="s">
        <v>44</v>
      </c>
      <c r="H6" s="14" t="s">
        <v>59</v>
      </c>
      <c r="I6" s="12" t="s">
        <v>46</v>
      </c>
      <c r="J6" s="11" t="s">
        <v>47</v>
      </c>
      <c r="K6" s="11" t="s">
        <v>47</v>
      </c>
      <c r="L6" s="11" t="s">
        <v>47</v>
      </c>
      <c r="M6" s="11" t="s">
        <v>47</v>
      </c>
      <c r="N6" s="11"/>
      <c r="O6" s="11"/>
      <c r="P6" s="11"/>
      <c r="Q6" s="11"/>
      <c r="R6" s="11" t="s">
        <v>47</v>
      </c>
      <c r="S6" s="11" t="s">
        <v>47</v>
      </c>
      <c r="T6" s="11" t="s">
        <v>47</v>
      </c>
      <c r="U6" s="11"/>
      <c r="V6" s="11"/>
      <c r="W6" s="11"/>
      <c r="X6" s="11" t="s">
        <v>47</v>
      </c>
      <c r="Y6" s="11" t="s">
        <v>47</v>
      </c>
      <c r="Z6" s="11" t="s">
        <v>47</v>
      </c>
      <c r="AA6" s="11" t="s">
        <v>47</v>
      </c>
      <c r="AB6" s="11" t="s">
        <v>47</v>
      </c>
      <c r="AC6" s="11"/>
      <c r="AD6" s="11" t="s">
        <v>47</v>
      </c>
      <c r="AE6" s="11" t="s">
        <v>47</v>
      </c>
      <c r="AF6" s="14"/>
      <c r="AG6" s="14"/>
    </row>
    <row r="7" customFormat="false" ht="30" hidden="false" customHeight="true" outlineLevel="0" collapsed="false">
      <c r="A7" s="11"/>
      <c r="B7" s="11"/>
      <c r="C7" s="11"/>
      <c r="D7" s="11" t="s">
        <v>41</v>
      </c>
      <c r="E7" s="11" t="s">
        <v>42</v>
      </c>
      <c r="F7" s="13" t="s">
        <v>60</v>
      </c>
      <c r="G7" s="11" t="s">
        <v>44</v>
      </c>
      <c r="H7" s="14" t="s">
        <v>61</v>
      </c>
      <c r="I7" s="12" t="s">
        <v>46</v>
      </c>
      <c r="J7" s="11" t="s">
        <v>47</v>
      </c>
      <c r="K7" s="11" t="s">
        <v>47</v>
      </c>
      <c r="L7" s="11" t="s">
        <v>47</v>
      </c>
      <c r="M7" s="11" t="s">
        <v>47</v>
      </c>
      <c r="N7" s="11"/>
      <c r="O7" s="11"/>
      <c r="P7" s="11"/>
      <c r="Q7" s="11"/>
      <c r="R7" s="11" t="s">
        <v>47</v>
      </c>
      <c r="S7" s="11" t="s">
        <v>47</v>
      </c>
      <c r="T7" s="11" t="s">
        <v>47</v>
      </c>
      <c r="U7" s="11"/>
      <c r="V7" s="11"/>
      <c r="W7" s="11"/>
      <c r="X7" s="11" t="s">
        <v>47</v>
      </c>
      <c r="Y7" s="11" t="s">
        <v>47</v>
      </c>
      <c r="Z7" s="11" t="s">
        <v>47</v>
      </c>
      <c r="AA7" s="11" t="s">
        <v>47</v>
      </c>
      <c r="AB7" s="11" t="s">
        <v>47</v>
      </c>
      <c r="AC7" s="11"/>
      <c r="AD7" s="11" t="s">
        <v>47</v>
      </c>
      <c r="AE7" s="11" t="s">
        <v>47</v>
      </c>
      <c r="AF7" s="14"/>
      <c r="AG7" s="14" t="s">
        <v>62</v>
      </c>
    </row>
    <row r="8" customFormat="false" ht="30" hidden="false" customHeight="true" outlineLevel="0" collapsed="false">
      <c r="A8" s="11"/>
      <c r="B8" s="11"/>
      <c r="C8" s="11"/>
      <c r="D8" s="11" t="s">
        <v>41</v>
      </c>
      <c r="E8" s="11" t="s">
        <v>42</v>
      </c>
      <c r="F8" s="13" t="s">
        <v>63</v>
      </c>
      <c r="G8" s="11" t="s">
        <v>64</v>
      </c>
      <c r="H8" s="14" t="s">
        <v>65</v>
      </c>
      <c r="I8" s="12" t="s">
        <v>56</v>
      </c>
      <c r="J8" s="11" t="s">
        <v>47</v>
      </c>
      <c r="K8" s="11" t="s">
        <v>47</v>
      </c>
      <c r="L8" s="11" t="s">
        <v>47</v>
      </c>
      <c r="M8" s="11" t="s">
        <v>47</v>
      </c>
      <c r="N8" s="11"/>
      <c r="O8" s="11"/>
      <c r="P8" s="11"/>
      <c r="Q8" s="11"/>
      <c r="R8" s="11" t="s">
        <v>47</v>
      </c>
      <c r="S8" s="11" t="s">
        <v>47</v>
      </c>
      <c r="T8" s="11" t="s">
        <v>47</v>
      </c>
      <c r="U8" s="11"/>
      <c r="V8" s="11"/>
      <c r="W8" s="11"/>
      <c r="X8" s="11" t="s">
        <v>47</v>
      </c>
      <c r="Y8" s="11" t="s">
        <v>47</v>
      </c>
      <c r="Z8" s="11" t="s">
        <v>47</v>
      </c>
      <c r="AA8" s="11" t="s">
        <v>47</v>
      </c>
      <c r="AB8" s="11" t="s">
        <v>47</v>
      </c>
      <c r="AC8" s="11"/>
      <c r="AD8" s="11" t="s">
        <v>47</v>
      </c>
      <c r="AE8" s="11" t="s">
        <v>47</v>
      </c>
      <c r="AF8" s="14"/>
      <c r="AG8" s="14" t="s">
        <v>66</v>
      </c>
    </row>
    <row r="9" customFormat="false" ht="30" hidden="false" customHeight="true" outlineLevel="0" collapsed="false">
      <c r="A9" s="11"/>
      <c r="B9" s="11"/>
      <c r="C9" s="11"/>
      <c r="D9" s="11" t="s">
        <v>67</v>
      </c>
      <c r="E9" s="11" t="s">
        <v>42</v>
      </c>
      <c r="F9" s="13" t="s">
        <v>68</v>
      </c>
      <c r="G9" s="11" t="s">
        <v>44</v>
      </c>
      <c r="H9" s="14" t="s">
        <v>69</v>
      </c>
      <c r="I9" s="12" t="s">
        <v>46</v>
      </c>
      <c r="J9" s="11"/>
      <c r="K9" s="11"/>
      <c r="L9" s="11"/>
      <c r="M9" s="11"/>
      <c r="N9" s="11"/>
      <c r="O9" s="11"/>
      <c r="P9" s="11"/>
      <c r="Q9" s="11"/>
      <c r="R9" s="11" t="s">
        <v>47</v>
      </c>
      <c r="S9" s="11" t="s">
        <v>47</v>
      </c>
      <c r="T9" s="11" t="s">
        <v>47</v>
      </c>
      <c r="U9" s="11"/>
      <c r="V9" s="11"/>
      <c r="W9" s="11"/>
      <c r="X9" s="11"/>
      <c r="Y9" s="11"/>
      <c r="Z9" s="11"/>
      <c r="AA9" s="11"/>
      <c r="AB9" s="11" t="s">
        <v>47</v>
      </c>
      <c r="AC9" s="11"/>
      <c r="AD9" s="11"/>
      <c r="AE9" s="11"/>
      <c r="AF9" s="14"/>
      <c r="AG9" s="14" t="s">
        <v>70</v>
      </c>
    </row>
    <row r="10" customFormat="false" ht="30" hidden="false" customHeight="true" outlineLevel="0" collapsed="false">
      <c r="A10" s="11"/>
      <c r="B10" s="11"/>
      <c r="C10" s="11"/>
      <c r="D10" s="11" t="s">
        <v>67</v>
      </c>
      <c r="E10" s="11" t="s">
        <v>42</v>
      </c>
      <c r="F10" s="13" t="s">
        <v>71</v>
      </c>
      <c r="G10" s="11" t="s">
        <v>44</v>
      </c>
      <c r="H10" s="14" t="s">
        <v>72</v>
      </c>
      <c r="I10" s="12" t="s">
        <v>46</v>
      </c>
      <c r="J10" s="11"/>
      <c r="K10" s="11"/>
      <c r="L10" s="11"/>
      <c r="M10" s="11"/>
      <c r="N10" s="11"/>
      <c r="O10" s="11"/>
      <c r="P10" s="11"/>
      <c r="Q10" s="11"/>
      <c r="R10" s="11" t="s">
        <v>47</v>
      </c>
      <c r="S10" s="11" t="s">
        <v>47</v>
      </c>
      <c r="T10" s="11" t="s">
        <v>47</v>
      </c>
      <c r="U10" s="11"/>
      <c r="V10" s="11"/>
      <c r="W10" s="11"/>
      <c r="X10" s="11"/>
      <c r="Y10" s="11"/>
      <c r="Z10" s="11"/>
      <c r="AA10" s="11"/>
      <c r="AB10" s="11" t="s">
        <v>47</v>
      </c>
      <c r="AC10" s="11"/>
      <c r="AD10" s="11"/>
      <c r="AE10" s="11"/>
      <c r="AF10" s="14"/>
      <c r="AG10" s="14" t="s">
        <v>73</v>
      </c>
    </row>
    <row r="11" customFormat="false" ht="30" hidden="false" customHeight="true" outlineLevel="0" collapsed="false">
      <c r="A11" s="11"/>
      <c r="B11" s="11"/>
      <c r="C11" s="11"/>
      <c r="D11" s="11" t="s">
        <v>67</v>
      </c>
      <c r="E11" s="11" t="s">
        <v>42</v>
      </c>
      <c r="F11" s="13" t="s">
        <v>74</v>
      </c>
      <c r="G11" s="11" t="s">
        <v>64</v>
      </c>
      <c r="H11" s="14" t="s">
        <v>75</v>
      </c>
      <c r="I11" s="12" t="s">
        <v>56</v>
      </c>
      <c r="J11" s="11"/>
      <c r="K11" s="11"/>
      <c r="L11" s="11"/>
      <c r="M11" s="11"/>
      <c r="N11" s="11"/>
      <c r="O11" s="11"/>
      <c r="P11" s="11"/>
      <c r="Q11" s="11"/>
      <c r="R11" s="11" t="s">
        <v>47</v>
      </c>
      <c r="S11" s="11" t="s">
        <v>47</v>
      </c>
      <c r="T11" s="11" t="s">
        <v>47</v>
      </c>
      <c r="U11" s="11"/>
      <c r="V11" s="11"/>
      <c r="W11" s="11"/>
      <c r="X11" s="11"/>
      <c r="Y11" s="11"/>
      <c r="Z11" s="11"/>
      <c r="AA11" s="11"/>
      <c r="AB11" s="11" t="s">
        <v>47</v>
      </c>
      <c r="AC11" s="11"/>
      <c r="AD11" s="11"/>
      <c r="AE11" s="11"/>
      <c r="AF11" s="14"/>
      <c r="AG11" s="14"/>
    </row>
    <row r="12" customFormat="false" ht="30" hidden="false" customHeight="true" outlineLevel="0" collapsed="false">
      <c r="A12" s="11"/>
      <c r="B12" s="11"/>
      <c r="C12" s="11"/>
      <c r="D12" s="11" t="s">
        <v>67</v>
      </c>
      <c r="E12" s="11" t="s">
        <v>42</v>
      </c>
      <c r="F12" s="13" t="s">
        <v>76</v>
      </c>
      <c r="G12" s="11" t="s">
        <v>54</v>
      </c>
      <c r="H12" s="14" t="s">
        <v>77</v>
      </c>
      <c r="I12" s="12" t="s">
        <v>56</v>
      </c>
      <c r="J12" s="11"/>
      <c r="K12" s="11"/>
      <c r="L12" s="11"/>
      <c r="M12" s="11"/>
      <c r="N12" s="11"/>
      <c r="O12" s="11"/>
      <c r="P12" s="11"/>
      <c r="Q12" s="11"/>
      <c r="R12" s="11" t="s">
        <v>47</v>
      </c>
      <c r="S12" s="11" t="s">
        <v>47</v>
      </c>
      <c r="T12" s="11" t="s">
        <v>47</v>
      </c>
      <c r="U12" s="11"/>
      <c r="V12" s="11"/>
      <c r="W12" s="11"/>
      <c r="X12" s="11"/>
      <c r="Y12" s="11"/>
      <c r="Z12" s="11"/>
      <c r="AA12" s="11"/>
      <c r="AB12" s="11" t="s">
        <v>47</v>
      </c>
      <c r="AC12" s="11"/>
      <c r="AD12" s="11"/>
      <c r="AE12" s="11"/>
      <c r="AF12" s="14"/>
      <c r="AG12" s="14" t="s">
        <v>78</v>
      </c>
    </row>
    <row r="13" customFormat="false" ht="70.5" hidden="false" customHeight="true" outlineLevel="0" collapsed="false">
      <c r="A13" s="11" t="s">
        <v>79</v>
      </c>
      <c r="B13" s="12" t="s">
        <v>80</v>
      </c>
      <c r="C13" s="13" t="s">
        <v>81</v>
      </c>
      <c r="D13" s="11" t="s">
        <v>82</v>
      </c>
      <c r="E13" s="11" t="s">
        <v>83</v>
      </c>
      <c r="F13" s="13" t="s">
        <v>84</v>
      </c>
      <c r="G13" s="11" t="s">
        <v>54</v>
      </c>
      <c r="H13" s="14" t="s">
        <v>85</v>
      </c>
      <c r="I13" s="12" t="s">
        <v>56</v>
      </c>
      <c r="J13" s="11"/>
      <c r="K13" s="11"/>
      <c r="L13" s="11"/>
      <c r="M13" s="11"/>
      <c r="N13" s="11" t="s">
        <v>47</v>
      </c>
      <c r="O13" s="11" t="s">
        <v>47</v>
      </c>
      <c r="P13" s="11" t="s">
        <v>47</v>
      </c>
      <c r="Q13" s="11" t="s">
        <v>47</v>
      </c>
      <c r="R13" s="11" t="s">
        <v>47</v>
      </c>
      <c r="S13" s="11" t="s">
        <v>47</v>
      </c>
      <c r="T13" s="11" t="s">
        <v>47</v>
      </c>
      <c r="U13" s="11" t="s">
        <v>47</v>
      </c>
      <c r="V13" s="11"/>
      <c r="W13" s="11"/>
      <c r="X13" s="11"/>
      <c r="Y13" s="11"/>
      <c r="Z13" s="11"/>
      <c r="AA13" s="11"/>
      <c r="AB13" s="11" t="s">
        <v>47</v>
      </c>
      <c r="AC13" s="11" t="s">
        <v>47</v>
      </c>
      <c r="AD13" s="11" t="s">
        <v>47</v>
      </c>
      <c r="AE13" s="11"/>
      <c r="AF13" s="14" t="s">
        <v>86</v>
      </c>
      <c r="AG13" s="14" t="s">
        <v>87</v>
      </c>
    </row>
    <row r="14" customFormat="false" ht="30" hidden="false" customHeight="true" outlineLevel="0" collapsed="false">
      <c r="A14" s="11"/>
      <c r="B14" s="11"/>
      <c r="C14" s="11"/>
      <c r="D14" s="11" t="s">
        <v>88</v>
      </c>
      <c r="E14" s="11" t="s">
        <v>83</v>
      </c>
      <c r="F14" s="13" t="s">
        <v>89</v>
      </c>
      <c r="G14" s="11" t="s">
        <v>54</v>
      </c>
      <c r="H14" s="14" t="s">
        <v>90</v>
      </c>
      <c r="I14" s="12" t="s">
        <v>56</v>
      </c>
      <c r="J14" s="11"/>
      <c r="K14" s="11"/>
      <c r="L14" s="11"/>
      <c r="M14" s="11"/>
      <c r="N14" s="11" t="s">
        <v>47</v>
      </c>
      <c r="O14" s="11" t="s">
        <v>47</v>
      </c>
      <c r="P14" s="11" t="s">
        <v>47</v>
      </c>
      <c r="Q14" s="11" t="s">
        <v>47</v>
      </c>
      <c r="R14" s="11" t="s">
        <v>47</v>
      </c>
      <c r="S14" s="11" t="s">
        <v>47</v>
      </c>
      <c r="T14" s="11" t="s">
        <v>47</v>
      </c>
      <c r="U14" s="11" t="s">
        <v>47</v>
      </c>
      <c r="V14" s="11"/>
      <c r="W14" s="11"/>
      <c r="X14" s="11"/>
      <c r="Y14" s="11"/>
      <c r="Z14" s="11"/>
      <c r="AA14" s="11"/>
      <c r="AB14" s="11" t="s">
        <v>47</v>
      </c>
      <c r="AC14" s="11" t="s">
        <v>47</v>
      </c>
      <c r="AD14" s="11" t="s">
        <v>47</v>
      </c>
      <c r="AE14" s="11"/>
      <c r="AF14" s="14"/>
      <c r="AG14" s="14" t="s">
        <v>91</v>
      </c>
    </row>
    <row r="15" customFormat="false" ht="30" hidden="false" customHeight="true" outlineLevel="0" collapsed="false">
      <c r="A15" s="11"/>
      <c r="B15" s="11"/>
      <c r="C15" s="11"/>
      <c r="D15" s="11" t="s">
        <v>88</v>
      </c>
      <c r="E15" s="11" t="s">
        <v>83</v>
      </c>
      <c r="F15" s="13" t="s">
        <v>92</v>
      </c>
      <c r="G15" s="11" t="s">
        <v>44</v>
      </c>
      <c r="H15" s="14" t="s">
        <v>93</v>
      </c>
      <c r="I15" s="12" t="s">
        <v>46</v>
      </c>
      <c r="J15" s="11"/>
      <c r="K15" s="11"/>
      <c r="L15" s="11"/>
      <c r="M15" s="11"/>
      <c r="N15" s="11" t="s">
        <v>47</v>
      </c>
      <c r="O15" s="11" t="s">
        <v>47</v>
      </c>
      <c r="P15" s="11" t="s">
        <v>47</v>
      </c>
      <c r="Q15" s="11" t="s">
        <v>47</v>
      </c>
      <c r="R15" s="11" t="s">
        <v>47</v>
      </c>
      <c r="S15" s="11" t="s">
        <v>47</v>
      </c>
      <c r="T15" s="11" t="s">
        <v>47</v>
      </c>
      <c r="U15" s="11" t="s">
        <v>47</v>
      </c>
      <c r="V15" s="11"/>
      <c r="W15" s="11"/>
      <c r="X15" s="11"/>
      <c r="Y15" s="11"/>
      <c r="Z15" s="11"/>
      <c r="AA15" s="11"/>
      <c r="AB15" s="11" t="s">
        <v>47</v>
      </c>
      <c r="AC15" s="11" t="s">
        <v>47</v>
      </c>
      <c r="AD15" s="11" t="s">
        <v>47</v>
      </c>
      <c r="AE15" s="11"/>
      <c r="AF15" s="14"/>
      <c r="AG15" s="14"/>
    </row>
    <row r="16" customFormat="false" ht="30" hidden="false" customHeight="true" outlineLevel="0" collapsed="false">
      <c r="A16" s="11"/>
      <c r="B16" s="11"/>
      <c r="C16" s="11"/>
      <c r="D16" s="11" t="s">
        <v>88</v>
      </c>
      <c r="E16" s="11" t="s">
        <v>83</v>
      </c>
      <c r="F16" s="13" t="s">
        <v>94</v>
      </c>
      <c r="G16" s="11" t="s">
        <v>44</v>
      </c>
      <c r="H16" s="14" t="s">
        <v>95</v>
      </c>
      <c r="I16" s="12" t="s">
        <v>46</v>
      </c>
      <c r="J16" s="11"/>
      <c r="K16" s="11"/>
      <c r="L16" s="11"/>
      <c r="M16" s="11"/>
      <c r="N16" s="11" t="s">
        <v>47</v>
      </c>
      <c r="O16" s="11" t="s">
        <v>47</v>
      </c>
      <c r="P16" s="11" t="s">
        <v>47</v>
      </c>
      <c r="Q16" s="11" t="s">
        <v>47</v>
      </c>
      <c r="R16" s="11" t="s">
        <v>47</v>
      </c>
      <c r="S16" s="11" t="s">
        <v>47</v>
      </c>
      <c r="T16" s="11" t="s">
        <v>47</v>
      </c>
      <c r="U16" s="11" t="s">
        <v>47</v>
      </c>
      <c r="V16" s="11"/>
      <c r="W16" s="11"/>
      <c r="X16" s="11"/>
      <c r="Y16" s="11"/>
      <c r="Z16" s="11"/>
      <c r="AA16" s="11"/>
      <c r="AB16" s="11" t="s">
        <v>47</v>
      </c>
      <c r="AC16" s="11" t="s">
        <v>47</v>
      </c>
      <c r="AD16" s="11" t="s">
        <v>47</v>
      </c>
      <c r="AE16" s="11"/>
      <c r="AF16" s="14"/>
      <c r="AG16" s="14"/>
    </row>
    <row r="17" customFormat="false" ht="43.5" hidden="false" customHeight="true" outlineLevel="0" collapsed="false">
      <c r="A17" s="11"/>
      <c r="B17" s="11"/>
      <c r="C17" s="11"/>
      <c r="D17" s="11" t="s">
        <v>88</v>
      </c>
      <c r="E17" s="11" t="s">
        <v>83</v>
      </c>
      <c r="F17" s="13" t="s">
        <v>96</v>
      </c>
      <c r="G17" s="11" t="s">
        <v>44</v>
      </c>
      <c r="H17" s="14" t="s">
        <v>97</v>
      </c>
      <c r="I17" s="12" t="s">
        <v>46</v>
      </c>
      <c r="J17" s="11"/>
      <c r="K17" s="11"/>
      <c r="L17" s="11"/>
      <c r="M17" s="11"/>
      <c r="N17" s="11" t="s">
        <v>47</v>
      </c>
      <c r="O17" s="11" t="s">
        <v>47</v>
      </c>
      <c r="P17" s="11" t="s">
        <v>47</v>
      </c>
      <c r="Q17" s="11" t="s">
        <v>47</v>
      </c>
      <c r="R17" s="11" t="s">
        <v>47</v>
      </c>
      <c r="S17" s="11" t="s">
        <v>47</v>
      </c>
      <c r="T17" s="11" t="s">
        <v>47</v>
      </c>
      <c r="U17" s="11" t="s">
        <v>47</v>
      </c>
      <c r="V17" s="11"/>
      <c r="W17" s="11"/>
      <c r="X17" s="11"/>
      <c r="Y17" s="11"/>
      <c r="Z17" s="11"/>
      <c r="AA17" s="11"/>
      <c r="AB17" s="11" t="s">
        <v>47</v>
      </c>
      <c r="AC17" s="11" t="s">
        <v>47</v>
      </c>
      <c r="AD17" s="11" t="s">
        <v>47</v>
      </c>
      <c r="AE17" s="11"/>
      <c r="AF17" s="14"/>
      <c r="AG17" s="14"/>
    </row>
    <row r="18" customFormat="false" ht="43.5" hidden="false" customHeight="true" outlineLevel="0" collapsed="false">
      <c r="A18" s="11"/>
      <c r="B18" s="11"/>
      <c r="C18" s="11"/>
      <c r="D18" s="11" t="s">
        <v>88</v>
      </c>
      <c r="E18" s="11" t="s">
        <v>83</v>
      </c>
      <c r="F18" s="13" t="s">
        <v>98</v>
      </c>
      <c r="G18" s="11" t="s">
        <v>44</v>
      </c>
      <c r="H18" s="14" t="s">
        <v>99</v>
      </c>
      <c r="I18" s="12" t="s">
        <v>46</v>
      </c>
      <c r="J18" s="11"/>
      <c r="K18" s="11"/>
      <c r="L18" s="11"/>
      <c r="M18" s="11"/>
      <c r="N18" s="11" t="s">
        <v>47</v>
      </c>
      <c r="O18" s="11" t="s">
        <v>47</v>
      </c>
      <c r="P18" s="11" t="s">
        <v>47</v>
      </c>
      <c r="Q18" s="11" t="s">
        <v>47</v>
      </c>
      <c r="R18" s="11" t="s">
        <v>47</v>
      </c>
      <c r="S18" s="11" t="s">
        <v>47</v>
      </c>
      <c r="T18" s="11" t="s">
        <v>47</v>
      </c>
      <c r="U18" s="11" t="s">
        <v>47</v>
      </c>
      <c r="V18" s="11"/>
      <c r="W18" s="11"/>
      <c r="X18" s="11"/>
      <c r="Y18" s="11"/>
      <c r="Z18" s="11"/>
      <c r="AA18" s="11"/>
      <c r="AB18" s="11" t="s">
        <v>47</v>
      </c>
      <c r="AC18" s="11" t="s">
        <v>47</v>
      </c>
      <c r="AD18" s="11" t="s">
        <v>47</v>
      </c>
      <c r="AE18" s="11"/>
      <c r="AF18" s="14"/>
      <c r="AG18" s="14" t="s">
        <v>100</v>
      </c>
    </row>
    <row r="19" customFormat="false" ht="30" hidden="false" customHeight="true" outlineLevel="0" collapsed="false">
      <c r="A19" s="11"/>
      <c r="B19" s="11"/>
      <c r="C19" s="11"/>
      <c r="D19" s="11" t="s">
        <v>82</v>
      </c>
      <c r="E19" s="11" t="s">
        <v>83</v>
      </c>
      <c r="F19" s="13" t="s">
        <v>101</v>
      </c>
      <c r="G19" s="11" t="s">
        <v>44</v>
      </c>
      <c r="H19" s="14" t="s">
        <v>102</v>
      </c>
      <c r="I19" s="12" t="s">
        <v>56</v>
      </c>
      <c r="J19" s="11"/>
      <c r="K19" s="11"/>
      <c r="L19" s="11"/>
      <c r="M19" s="11"/>
      <c r="N19" s="11" t="s">
        <v>47</v>
      </c>
      <c r="O19" s="11" t="s">
        <v>47</v>
      </c>
      <c r="P19" s="11" t="s">
        <v>47</v>
      </c>
      <c r="Q19" s="11" t="s">
        <v>47</v>
      </c>
      <c r="R19" s="11" t="s">
        <v>47</v>
      </c>
      <c r="S19" s="11" t="s">
        <v>47</v>
      </c>
      <c r="T19" s="11" t="s">
        <v>47</v>
      </c>
      <c r="U19" s="11" t="s">
        <v>47</v>
      </c>
      <c r="V19" s="11"/>
      <c r="W19" s="11"/>
      <c r="X19" s="11"/>
      <c r="Y19" s="11"/>
      <c r="Z19" s="11"/>
      <c r="AA19" s="11"/>
      <c r="AB19" s="11" t="s">
        <v>47</v>
      </c>
      <c r="AC19" s="11" t="s">
        <v>47</v>
      </c>
      <c r="AD19" s="11" t="s">
        <v>47</v>
      </c>
      <c r="AE19" s="11"/>
      <c r="AF19" s="14"/>
      <c r="AG19" s="14"/>
    </row>
    <row r="20" customFormat="false" ht="57" hidden="false" customHeight="true" outlineLevel="0" collapsed="false">
      <c r="A20" s="11"/>
      <c r="B20" s="11"/>
      <c r="C20" s="13"/>
      <c r="D20" s="11" t="s">
        <v>82</v>
      </c>
      <c r="E20" s="11" t="s">
        <v>83</v>
      </c>
      <c r="F20" s="13" t="s">
        <v>103</v>
      </c>
      <c r="G20" s="11" t="s">
        <v>44</v>
      </c>
      <c r="H20" s="14" t="s">
        <v>104</v>
      </c>
      <c r="I20" s="12" t="s">
        <v>56</v>
      </c>
      <c r="J20" s="11"/>
      <c r="K20" s="11"/>
      <c r="L20" s="11"/>
      <c r="M20" s="11"/>
      <c r="N20" s="11" t="s">
        <v>47</v>
      </c>
      <c r="O20" s="11" t="s">
        <v>47</v>
      </c>
      <c r="P20" s="11" t="s">
        <v>47</v>
      </c>
      <c r="Q20" s="11" t="s">
        <v>47</v>
      </c>
      <c r="R20" s="11" t="s">
        <v>47</v>
      </c>
      <c r="S20" s="11" t="s">
        <v>47</v>
      </c>
      <c r="T20" s="11" t="s">
        <v>47</v>
      </c>
      <c r="U20" s="11" t="s">
        <v>47</v>
      </c>
      <c r="V20" s="11"/>
      <c r="W20" s="11"/>
      <c r="X20" s="11"/>
      <c r="Y20" s="11"/>
      <c r="Z20" s="11"/>
      <c r="AA20" s="11"/>
      <c r="AB20" s="11" t="s">
        <v>47</v>
      </c>
      <c r="AC20" s="11" t="s">
        <v>47</v>
      </c>
      <c r="AD20" s="11" t="s">
        <v>47</v>
      </c>
      <c r="AE20" s="11"/>
      <c r="AF20" s="14"/>
      <c r="AG20" s="14"/>
    </row>
    <row r="21" customFormat="false" ht="70.5" hidden="false" customHeight="true" outlineLevel="0" collapsed="false">
      <c r="A21" s="11"/>
      <c r="B21" s="11"/>
      <c r="C21" s="13" t="s">
        <v>105</v>
      </c>
      <c r="D21" s="11" t="s">
        <v>82</v>
      </c>
      <c r="E21" s="11" t="s">
        <v>42</v>
      </c>
      <c r="F21" s="13" t="s">
        <v>106</v>
      </c>
      <c r="G21" s="11" t="s">
        <v>54</v>
      </c>
      <c r="H21" s="14" t="s">
        <v>107</v>
      </c>
      <c r="I21" s="12" t="s">
        <v>56</v>
      </c>
      <c r="J21" s="11"/>
      <c r="K21" s="11"/>
      <c r="L21" s="11"/>
      <c r="M21" s="11"/>
      <c r="N21" s="11" t="s">
        <v>47</v>
      </c>
      <c r="O21" s="11" t="s">
        <v>47</v>
      </c>
      <c r="P21" s="11" t="s">
        <v>47</v>
      </c>
      <c r="Q21" s="11" t="s">
        <v>47</v>
      </c>
      <c r="R21" s="11" t="s">
        <v>47</v>
      </c>
      <c r="S21" s="11" t="s">
        <v>47</v>
      </c>
      <c r="T21" s="11" t="s">
        <v>47</v>
      </c>
      <c r="U21" s="11" t="s">
        <v>47</v>
      </c>
      <c r="V21" s="11"/>
      <c r="W21" s="11"/>
      <c r="X21" s="11"/>
      <c r="Y21" s="11"/>
      <c r="Z21" s="11"/>
      <c r="AA21" s="11"/>
      <c r="AB21" s="11" t="s">
        <v>47</v>
      </c>
      <c r="AC21" s="11"/>
      <c r="AD21" s="11"/>
      <c r="AE21" s="11"/>
      <c r="AF21" s="14" t="s">
        <v>108</v>
      </c>
      <c r="AG21" s="14" t="s">
        <v>109</v>
      </c>
    </row>
    <row r="22" customFormat="false" ht="30" hidden="false" customHeight="true" outlineLevel="0" collapsed="false">
      <c r="A22" s="11"/>
      <c r="B22" s="11"/>
      <c r="C22" s="11"/>
      <c r="D22" s="11" t="s">
        <v>88</v>
      </c>
      <c r="E22" s="11" t="s">
        <v>42</v>
      </c>
      <c r="F22" s="13" t="s">
        <v>110</v>
      </c>
      <c r="G22" s="11" t="s">
        <v>54</v>
      </c>
      <c r="H22" s="14" t="s">
        <v>111</v>
      </c>
      <c r="I22" s="12" t="s">
        <v>56</v>
      </c>
      <c r="J22" s="11"/>
      <c r="K22" s="11"/>
      <c r="L22" s="11"/>
      <c r="M22" s="11"/>
      <c r="N22" s="11" t="s">
        <v>47</v>
      </c>
      <c r="O22" s="11" t="s">
        <v>47</v>
      </c>
      <c r="P22" s="11" t="s">
        <v>47</v>
      </c>
      <c r="Q22" s="11" t="s">
        <v>47</v>
      </c>
      <c r="R22" s="11" t="s">
        <v>47</v>
      </c>
      <c r="S22" s="11" t="s">
        <v>47</v>
      </c>
      <c r="T22" s="11" t="s">
        <v>47</v>
      </c>
      <c r="U22" s="11" t="s">
        <v>47</v>
      </c>
      <c r="V22" s="11"/>
      <c r="W22" s="11"/>
      <c r="X22" s="11"/>
      <c r="Y22" s="11"/>
      <c r="Z22" s="11"/>
      <c r="AA22" s="11"/>
      <c r="AB22" s="11" t="s">
        <v>47</v>
      </c>
      <c r="AC22" s="11"/>
      <c r="AD22" s="11"/>
      <c r="AE22" s="11"/>
      <c r="AF22" s="14"/>
      <c r="AG22" s="14"/>
    </row>
    <row r="23" customFormat="false" ht="30" hidden="false" customHeight="true" outlineLevel="0" collapsed="false">
      <c r="A23" s="11"/>
      <c r="B23" s="11"/>
      <c r="C23" s="11"/>
      <c r="D23" s="11" t="s">
        <v>88</v>
      </c>
      <c r="E23" s="11" t="s">
        <v>42</v>
      </c>
      <c r="F23" s="13" t="s">
        <v>112</v>
      </c>
      <c r="G23" s="11" t="s">
        <v>44</v>
      </c>
      <c r="H23" s="14" t="s">
        <v>113</v>
      </c>
      <c r="I23" s="12" t="s">
        <v>46</v>
      </c>
      <c r="J23" s="11"/>
      <c r="K23" s="11"/>
      <c r="L23" s="11"/>
      <c r="M23" s="11"/>
      <c r="N23" s="11" t="s">
        <v>47</v>
      </c>
      <c r="O23" s="11" t="s">
        <v>47</v>
      </c>
      <c r="P23" s="11" t="s">
        <v>47</v>
      </c>
      <c r="Q23" s="11" t="s">
        <v>47</v>
      </c>
      <c r="R23" s="11" t="s">
        <v>47</v>
      </c>
      <c r="S23" s="11" t="s">
        <v>47</v>
      </c>
      <c r="T23" s="11" t="s">
        <v>47</v>
      </c>
      <c r="U23" s="11" t="s">
        <v>47</v>
      </c>
      <c r="V23" s="11"/>
      <c r="W23" s="11"/>
      <c r="X23" s="11"/>
      <c r="Y23" s="11"/>
      <c r="Z23" s="11"/>
      <c r="AA23" s="11"/>
      <c r="AB23" s="11" t="s">
        <v>47</v>
      </c>
      <c r="AC23" s="11"/>
      <c r="AD23" s="11"/>
      <c r="AE23" s="11"/>
      <c r="AF23" s="14"/>
      <c r="AG23" s="14" t="s">
        <v>114</v>
      </c>
    </row>
    <row r="24" customFormat="false" ht="30" hidden="false" customHeight="true" outlineLevel="0" collapsed="false">
      <c r="A24" s="11"/>
      <c r="B24" s="11"/>
      <c r="C24" s="11"/>
      <c r="D24" s="11" t="s">
        <v>88</v>
      </c>
      <c r="E24" s="11" t="s">
        <v>42</v>
      </c>
      <c r="F24" s="13" t="s">
        <v>115</v>
      </c>
      <c r="G24" s="11" t="s">
        <v>44</v>
      </c>
      <c r="H24" s="14" t="s">
        <v>116</v>
      </c>
      <c r="I24" s="12" t="s">
        <v>46</v>
      </c>
      <c r="J24" s="11"/>
      <c r="K24" s="11"/>
      <c r="L24" s="11"/>
      <c r="M24" s="11"/>
      <c r="N24" s="11" t="s">
        <v>47</v>
      </c>
      <c r="O24" s="11" t="s">
        <v>47</v>
      </c>
      <c r="P24" s="11" t="s">
        <v>47</v>
      </c>
      <c r="Q24" s="11" t="s">
        <v>47</v>
      </c>
      <c r="R24" s="11" t="s">
        <v>47</v>
      </c>
      <c r="S24" s="11" t="s">
        <v>47</v>
      </c>
      <c r="T24" s="11" t="s">
        <v>47</v>
      </c>
      <c r="U24" s="11" t="s">
        <v>47</v>
      </c>
      <c r="V24" s="11"/>
      <c r="W24" s="11"/>
      <c r="X24" s="11"/>
      <c r="Y24" s="11"/>
      <c r="Z24" s="11"/>
      <c r="AA24" s="11"/>
      <c r="AB24" s="11" t="s">
        <v>47</v>
      </c>
      <c r="AC24" s="11"/>
      <c r="AD24" s="11"/>
      <c r="AE24" s="11"/>
      <c r="AF24" s="14"/>
      <c r="AG24" s="14"/>
    </row>
    <row r="25" customFormat="false" ht="30" hidden="false" customHeight="true" outlineLevel="0" collapsed="false">
      <c r="A25" s="11"/>
      <c r="B25" s="11"/>
      <c r="C25" s="11"/>
      <c r="D25" s="11" t="s">
        <v>82</v>
      </c>
      <c r="E25" s="11" t="s">
        <v>42</v>
      </c>
      <c r="F25" s="13" t="s">
        <v>117</v>
      </c>
      <c r="G25" s="11" t="s">
        <v>44</v>
      </c>
      <c r="H25" s="14" t="s">
        <v>118</v>
      </c>
      <c r="I25" s="12" t="s">
        <v>56</v>
      </c>
      <c r="J25" s="11"/>
      <c r="K25" s="11"/>
      <c r="L25" s="11"/>
      <c r="M25" s="11"/>
      <c r="N25" s="11" t="s">
        <v>47</v>
      </c>
      <c r="O25" s="11" t="s">
        <v>47</v>
      </c>
      <c r="P25" s="11" t="s">
        <v>47</v>
      </c>
      <c r="Q25" s="11" t="s">
        <v>47</v>
      </c>
      <c r="R25" s="11" t="s">
        <v>47</v>
      </c>
      <c r="S25" s="11" t="s">
        <v>47</v>
      </c>
      <c r="T25" s="11" t="s">
        <v>47</v>
      </c>
      <c r="U25" s="11" t="s">
        <v>47</v>
      </c>
      <c r="V25" s="11"/>
      <c r="W25" s="11"/>
      <c r="X25" s="11"/>
      <c r="Y25" s="11"/>
      <c r="Z25" s="11"/>
      <c r="AA25" s="11"/>
      <c r="AB25" s="11" t="s">
        <v>47</v>
      </c>
      <c r="AC25" s="11"/>
      <c r="AD25" s="11"/>
      <c r="AE25" s="11"/>
      <c r="AF25" s="14"/>
      <c r="AG25" s="14"/>
    </row>
    <row r="26" customFormat="false" ht="57" hidden="false" customHeight="true" outlineLevel="0" collapsed="false">
      <c r="A26" s="11"/>
      <c r="B26" s="11"/>
      <c r="C26" s="11"/>
      <c r="D26" s="11" t="s">
        <v>82</v>
      </c>
      <c r="E26" s="11" t="s">
        <v>42</v>
      </c>
      <c r="F26" s="13" t="s">
        <v>119</v>
      </c>
      <c r="G26" s="11" t="s">
        <v>44</v>
      </c>
      <c r="H26" s="14" t="s">
        <v>120</v>
      </c>
      <c r="I26" s="12" t="s">
        <v>56</v>
      </c>
      <c r="J26" s="11"/>
      <c r="K26" s="11"/>
      <c r="L26" s="11"/>
      <c r="M26" s="11"/>
      <c r="N26" s="11" t="s">
        <v>47</v>
      </c>
      <c r="O26" s="11" t="s">
        <v>47</v>
      </c>
      <c r="P26" s="11" t="s">
        <v>47</v>
      </c>
      <c r="Q26" s="11" t="s">
        <v>47</v>
      </c>
      <c r="R26" s="11" t="s">
        <v>47</v>
      </c>
      <c r="S26" s="11" t="s">
        <v>47</v>
      </c>
      <c r="T26" s="11" t="s">
        <v>47</v>
      </c>
      <c r="U26" s="11" t="s">
        <v>47</v>
      </c>
      <c r="V26" s="11"/>
      <c r="W26" s="11"/>
      <c r="X26" s="11"/>
      <c r="Y26" s="11"/>
      <c r="Z26" s="11"/>
      <c r="AA26" s="11"/>
      <c r="AB26" s="11" t="s">
        <v>47</v>
      </c>
      <c r="AC26" s="11"/>
      <c r="AD26" s="11"/>
      <c r="AE26" s="11"/>
      <c r="AF26" s="14"/>
      <c r="AG26" s="14" t="s">
        <v>121</v>
      </c>
    </row>
    <row r="27" customFormat="false" ht="57" hidden="false" customHeight="true" outlineLevel="0" collapsed="false">
      <c r="A27" s="11" t="s">
        <v>122</v>
      </c>
      <c r="B27" s="12" t="s">
        <v>123</v>
      </c>
      <c r="C27" s="13" t="s">
        <v>124</v>
      </c>
      <c r="D27" s="11" t="s">
        <v>125</v>
      </c>
      <c r="E27" s="11" t="s">
        <v>126</v>
      </c>
      <c r="F27" s="13" t="s">
        <v>127</v>
      </c>
      <c r="G27" s="11" t="s">
        <v>54</v>
      </c>
      <c r="H27" s="14" t="s">
        <v>128</v>
      </c>
      <c r="I27" s="12" t="s">
        <v>56</v>
      </c>
      <c r="J27" s="11" t="s">
        <v>47</v>
      </c>
      <c r="K27" s="11" t="s">
        <v>47</v>
      </c>
      <c r="L27" s="11" t="s">
        <v>47</v>
      </c>
      <c r="M27" s="11" t="s">
        <v>47</v>
      </c>
      <c r="N27" s="11" t="s">
        <v>47</v>
      </c>
      <c r="O27" s="11" t="s">
        <v>47</v>
      </c>
      <c r="P27" s="11" t="s">
        <v>47</v>
      </c>
      <c r="Q27" s="11" t="s">
        <v>47</v>
      </c>
      <c r="R27" s="11" t="s">
        <v>47</v>
      </c>
      <c r="S27" s="11" t="s">
        <v>47</v>
      </c>
      <c r="T27" s="11" t="s">
        <v>47</v>
      </c>
      <c r="U27" s="11" t="s">
        <v>47</v>
      </c>
      <c r="V27" s="11" t="s">
        <v>47</v>
      </c>
      <c r="W27" s="11" t="s">
        <v>47</v>
      </c>
      <c r="X27" s="11"/>
      <c r="Y27" s="11"/>
      <c r="Z27" s="11"/>
      <c r="AA27" s="11"/>
      <c r="AB27" s="11" t="s">
        <v>47</v>
      </c>
      <c r="AC27" s="11" t="s">
        <v>47</v>
      </c>
      <c r="AD27" s="11"/>
      <c r="AE27" s="11"/>
      <c r="AF27" s="14" t="s">
        <v>129</v>
      </c>
      <c r="AG27" s="14" t="s">
        <v>130</v>
      </c>
    </row>
    <row r="28" customFormat="false" ht="57" hidden="false" customHeight="true" outlineLevel="0" collapsed="false">
      <c r="A28" s="11"/>
      <c r="B28" s="11"/>
      <c r="C28" s="11"/>
      <c r="D28" s="11" t="s">
        <v>125</v>
      </c>
      <c r="E28" s="11" t="s">
        <v>126</v>
      </c>
      <c r="F28" s="13" t="s">
        <v>131</v>
      </c>
      <c r="G28" s="11" t="s">
        <v>54</v>
      </c>
      <c r="H28" s="14" t="s">
        <v>132</v>
      </c>
      <c r="I28" s="12" t="s">
        <v>56</v>
      </c>
      <c r="J28" s="11" t="s">
        <v>47</v>
      </c>
      <c r="K28" s="11" t="s">
        <v>47</v>
      </c>
      <c r="L28" s="11" t="s">
        <v>47</v>
      </c>
      <c r="M28" s="11" t="s">
        <v>47</v>
      </c>
      <c r="N28" s="11" t="s">
        <v>47</v>
      </c>
      <c r="O28" s="11" t="s">
        <v>47</v>
      </c>
      <c r="P28" s="11" t="s">
        <v>47</v>
      </c>
      <c r="Q28" s="11" t="s">
        <v>47</v>
      </c>
      <c r="R28" s="11" t="s">
        <v>47</v>
      </c>
      <c r="S28" s="11" t="s">
        <v>47</v>
      </c>
      <c r="T28" s="11" t="s">
        <v>47</v>
      </c>
      <c r="U28" s="11" t="s">
        <v>47</v>
      </c>
      <c r="V28" s="11" t="s">
        <v>47</v>
      </c>
      <c r="W28" s="11" t="s">
        <v>47</v>
      </c>
      <c r="X28" s="11"/>
      <c r="Y28" s="11"/>
      <c r="Z28" s="11"/>
      <c r="AA28" s="11"/>
      <c r="AB28" s="11" t="s">
        <v>47</v>
      </c>
      <c r="AC28" s="11" t="s">
        <v>47</v>
      </c>
      <c r="AD28" s="11"/>
      <c r="AE28" s="11"/>
      <c r="AF28" s="14"/>
      <c r="AG28" s="14" t="s">
        <v>133</v>
      </c>
    </row>
    <row r="29" customFormat="false" ht="30" hidden="false" customHeight="true" outlineLevel="0" collapsed="false">
      <c r="A29" s="11"/>
      <c r="B29" s="11"/>
      <c r="C29" s="11"/>
      <c r="D29" s="11" t="s">
        <v>134</v>
      </c>
      <c r="E29" s="11" t="s">
        <v>126</v>
      </c>
      <c r="F29" s="13" t="s">
        <v>135</v>
      </c>
      <c r="G29" s="11" t="s">
        <v>64</v>
      </c>
      <c r="H29" s="14" t="s">
        <v>136</v>
      </c>
      <c r="I29" s="12" t="s">
        <v>56</v>
      </c>
      <c r="J29" s="11" t="s">
        <v>47</v>
      </c>
      <c r="K29" s="11" t="s">
        <v>47</v>
      </c>
      <c r="L29" s="11" t="s">
        <v>47</v>
      </c>
      <c r="M29" s="11" t="s">
        <v>47</v>
      </c>
      <c r="N29" s="11" t="s">
        <v>47</v>
      </c>
      <c r="O29" s="11" t="s">
        <v>47</v>
      </c>
      <c r="P29" s="11" t="s">
        <v>47</v>
      </c>
      <c r="Q29" s="11" t="s">
        <v>47</v>
      </c>
      <c r="R29" s="11" t="s">
        <v>47</v>
      </c>
      <c r="S29" s="11" t="s">
        <v>47</v>
      </c>
      <c r="T29" s="11" t="s">
        <v>47</v>
      </c>
      <c r="U29" s="11" t="s">
        <v>47</v>
      </c>
      <c r="V29" s="11" t="s">
        <v>47</v>
      </c>
      <c r="W29" s="11" t="s">
        <v>47</v>
      </c>
      <c r="X29" s="11"/>
      <c r="Y29" s="11"/>
      <c r="Z29" s="11"/>
      <c r="AA29" s="11"/>
      <c r="AB29" s="11" t="s">
        <v>47</v>
      </c>
      <c r="AC29" s="11" t="s">
        <v>47</v>
      </c>
      <c r="AD29" s="11"/>
      <c r="AE29" s="11"/>
      <c r="AF29" s="14"/>
      <c r="AG29" s="14" t="s">
        <v>137</v>
      </c>
    </row>
    <row r="30" customFormat="false" ht="43.5" hidden="false" customHeight="true" outlineLevel="0" collapsed="false">
      <c r="A30" s="11"/>
      <c r="B30" s="11"/>
      <c r="C30" s="11"/>
      <c r="D30" s="11" t="s">
        <v>134</v>
      </c>
      <c r="E30" s="11" t="s">
        <v>126</v>
      </c>
      <c r="F30" s="13" t="s">
        <v>138</v>
      </c>
      <c r="G30" s="11" t="s">
        <v>64</v>
      </c>
      <c r="H30" s="14" t="s">
        <v>139</v>
      </c>
      <c r="I30" s="12" t="s">
        <v>56</v>
      </c>
      <c r="J30" s="11" t="s">
        <v>47</v>
      </c>
      <c r="K30" s="11" t="s">
        <v>47</v>
      </c>
      <c r="L30" s="11" t="s">
        <v>47</v>
      </c>
      <c r="M30" s="11" t="s">
        <v>47</v>
      </c>
      <c r="N30" s="11" t="s">
        <v>47</v>
      </c>
      <c r="O30" s="11" t="s">
        <v>47</v>
      </c>
      <c r="P30" s="11" t="s">
        <v>47</v>
      </c>
      <c r="Q30" s="11" t="s">
        <v>47</v>
      </c>
      <c r="R30" s="11" t="s">
        <v>47</v>
      </c>
      <c r="S30" s="11" t="s">
        <v>47</v>
      </c>
      <c r="T30" s="11" t="s">
        <v>47</v>
      </c>
      <c r="U30" s="11" t="s">
        <v>47</v>
      </c>
      <c r="V30" s="11" t="s">
        <v>47</v>
      </c>
      <c r="W30" s="11" t="s">
        <v>47</v>
      </c>
      <c r="X30" s="11"/>
      <c r="Y30" s="11"/>
      <c r="Z30" s="11"/>
      <c r="AA30" s="11"/>
      <c r="AB30" s="11" t="s">
        <v>47</v>
      </c>
      <c r="AC30" s="11" t="s">
        <v>47</v>
      </c>
      <c r="AD30" s="11"/>
      <c r="AE30" s="11"/>
      <c r="AF30" s="14"/>
      <c r="AG30" s="14" t="s">
        <v>140</v>
      </c>
    </row>
    <row r="31" customFormat="false" ht="30" hidden="false" customHeight="true" outlineLevel="0" collapsed="false">
      <c r="A31" s="11"/>
      <c r="B31" s="11"/>
      <c r="C31" s="11"/>
      <c r="D31" s="11" t="s">
        <v>125</v>
      </c>
      <c r="E31" s="11" t="s">
        <v>126</v>
      </c>
      <c r="F31" s="13" t="s">
        <v>141</v>
      </c>
      <c r="G31" s="11" t="s">
        <v>44</v>
      </c>
      <c r="H31" s="14" t="s">
        <v>142</v>
      </c>
      <c r="I31" s="12" t="s">
        <v>56</v>
      </c>
      <c r="J31" s="11" t="s">
        <v>47</v>
      </c>
      <c r="K31" s="11" t="s">
        <v>47</v>
      </c>
      <c r="L31" s="11" t="s">
        <v>47</v>
      </c>
      <c r="M31" s="11" t="s">
        <v>47</v>
      </c>
      <c r="N31" s="11" t="s">
        <v>47</v>
      </c>
      <c r="O31" s="11" t="s">
        <v>47</v>
      </c>
      <c r="P31" s="11" t="s">
        <v>47</v>
      </c>
      <c r="Q31" s="11" t="s">
        <v>47</v>
      </c>
      <c r="R31" s="11" t="s">
        <v>47</v>
      </c>
      <c r="S31" s="11" t="s">
        <v>47</v>
      </c>
      <c r="T31" s="11" t="s">
        <v>47</v>
      </c>
      <c r="U31" s="11" t="s">
        <v>47</v>
      </c>
      <c r="V31" s="11" t="s">
        <v>47</v>
      </c>
      <c r="W31" s="11" t="s">
        <v>47</v>
      </c>
      <c r="X31" s="11"/>
      <c r="Y31" s="11"/>
      <c r="Z31" s="11"/>
      <c r="AA31" s="11"/>
      <c r="AB31" s="11" t="s">
        <v>47</v>
      </c>
      <c r="AC31" s="11" t="s">
        <v>47</v>
      </c>
      <c r="AD31" s="11"/>
      <c r="AE31" s="11"/>
      <c r="AF31" s="14"/>
      <c r="AG31" s="14" t="s">
        <v>143</v>
      </c>
    </row>
    <row r="32" customFormat="false" ht="57" hidden="false" customHeight="true" outlineLevel="0" collapsed="false">
      <c r="A32" s="11"/>
      <c r="B32" s="11"/>
      <c r="C32" s="11"/>
      <c r="D32" s="11" t="s">
        <v>125</v>
      </c>
      <c r="E32" s="11" t="s">
        <v>126</v>
      </c>
      <c r="F32" s="13" t="s">
        <v>144</v>
      </c>
      <c r="G32" s="11" t="s">
        <v>44</v>
      </c>
      <c r="H32" s="14" t="s">
        <v>145</v>
      </c>
      <c r="I32" s="12" t="s">
        <v>56</v>
      </c>
      <c r="J32" s="11" t="s">
        <v>47</v>
      </c>
      <c r="K32" s="11" t="s">
        <v>47</v>
      </c>
      <c r="L32" s="11" t="s">
        <v>47</v>
      </c>
      <c r="M32" s="11" t="s">
        <v>47</v>
      </c>
      <c r="N32" s="11" t="s">
        <v>47</v>
      </c>
      <c r="O32" s="11" t="s">
        <v>47</v>
      </c>
      <c r="P32" s="11" t="s">
        <v>47</v>
      </c>
      <c r="Q32" s="11" t="s">
        <v>47</v>
      </c>
      <c r="R32" s="11" t="s">
        <v>47</v>
      </c>
      <c r="S32" s="11" t="s">
        <v>47</v>
      </c>
      <c r="T32" s="11" t="s">
        <v>47</v>
      </c>
      <c r="U32" s="11" t="s">
        <v>47</v>
      </c>
      <c r="V32" s="11" t="s">
        <v>47</v>
      </c>
      <c r="W32" s="11" t="s">
        <v>47</v>
      </c>
      <c r="X32" s="11"/>
      <c r="Y32" s="11"/>
      <c r="Z32" s="11"/>
      <c r="AA32" s="11"/>
      <c r="AB32" s="11" t="s">
        <v>47</v>
      </c>
      <c r="AC32" s="11" t="s">
        <v>47</v>
      </c>
      <c r="AD32" s="11"/>
      <c r="AE32" s="11"/>
      <c r="AF32" s="14"/>
      <c r="AG32" s="14" t="s">
        <v>130</v>
      </c>
    </row>
    <row r="33" customFormat="false" ht="57" hidden="false" customHeight="true" outlineLevel="0" collapsed="false">
      <c r="A33" s="11"/>
      <c r="B33" s="11"/>
      <c r="C33" s="11"/>
      <c r="D33" s="11" t="s">
        <v>125</v>
      </c>
      <c r="E33" s="11" t="s">
        <v>126</v>
      </c>
      <c r="F33" s="13" t="s">
        <v>146</v>
      </c>
      <c r="G33" s="11" t="s">
        <v>44</v>
      </c>
      <c r="H33" s="14" t="s">
        <v>147</v>
      </c>
      <c r="I33" s="12" t="s">
        <v>56</v>
      </c>
      <c r="J33" s="11" t="s">
        <v>47</v>
      </c>
      <c r="K33" s="11" t="s">
        <v>47</v>
      </c>
      <c r="L33" s="11" t="s">
        <v>47</v>
      </c>
      <c r="M33" s="11" t="s">
        <v>47</v>
      </c>
      <c r="N33" s="11" t="s">
        <v>47</v>
      </c>
      <c r="O33" s="11" t="s">
        <v>47</v>
      </c>
      <c r="P33" s="11" t="s">
        <v>47</v>
      </c>
      <c r="Q33" s="11" t="s">
        <v>47</v>
      </c>
      <c r="R33" s="11" t="s">
        <v>47</v>
      </c>
      <c r="S33" s="11" t="s">
        <v>47</v>
      </c>
      <c r="T33" s="11" t="s">
        <v>47</v>
      </c>
      <c r="U33" s="11" t="s">
        <v>47</v>
      </c>
      <c r="V33" s="11" t="s">
        <v>47</v>
      </c>
      <c r="W33" s="11" t="s">
        <v>47</v>
      </c>
      <c r="X33" s="11"/>
      <c r="Y33" s="11"/>
      <c r="Z33" s="11"/>
      <c r="AA33" s="11"/>
      <c r="AB33" s="11" t="s">
        <v>47</v>
      </c>
      <c r="AC33" s="11" t="s">
        <v>47</v>
      </c>
      <c r="AD33" s="11"/>
      <c r="AE33" s="11"/>
      <c r="AF33" s="14"/>
      <c r="AG33" s="14" t="s">
        <v>148</v>
      </c>
    </row>
    <row r="34" customFormat="false" ht="30" hidden="false" customHeight="true" outlineLevel="0" collapsed="false">
      <c r="A34" s="11"/>
      <c r="B34" s="11"/>
      <c r="C34" s="11"/>
      <c r="D34" s="11" t="s">
        <v>134</v>
      </c>
      <c r="E34" s="11" t="s">
        <v>126</v>
      </c>
      <c r="F34" s="13" t="s">
        <v>149</v>
      </c>
      <c r="G34" s="11" t="s">
        <v>44</v>
      </c>
      <c r="H34" s="14" t="s">
        <v>150</v>
      </c>
      <c r="I34" s="12" t="s">
        <v>46</v>
      </c>
      <c r="J34" s="11" t="s">
        <v>47</v>
      </c>
      <c r="K34" s="11" t="s">
        <v>47</v>
      </c>
      <c r="L34" s="11" t="s">
        <v>47</v>
      </c>
      <c r="M34" s="11" t="s">
        <v>47</v>
      </c>
      <c r="N34" s="11" t="s">
        <v>47</v>
      </c>
      <c r="O34" s="11" t="s">
        <v>47</v>
      </c>
      <c r="P34" s="11" t="s">
        <v>47</v>
      </c>
      <c r="Q34" s="11" t="s">
        <v>47</v>
      </c>
      <c r="R34" s="11" t="s">
        <v>47</v>
      </c>
      <c r="S34" s="11" t="s">
        <v>47</v>
      </c>
      <c r="T34" s="11" t="s">
        <v>47</v>
      </c>
      <c r="U34" s="11" t="s">
        <v>47</v>
      </c>
      <c r="V34" s="11" t="s">
        <v>47</v>
      </c>
      <c r="W34" s="11" t="s">
        <v>47</v>
      </c>
      <c r="X34" s="11"/>
      <c r="Y34" s="11"/>
      <c r="Z34" s="11"/>
      <c r="AA34" s="11"/>
      <c r="AB34" s="11" t="s">
        <v>47</v>
      </c>
      <c r="AC34" s="11" t="s">
        <v>47</v>
      </c>
      <c r="AD34" s="11"/>
      <c r="AE34" s="11"/>
      <c r="AF34" s="14"/>
      <c r="AG34" s="14"/>
    </row>
    <row r="35" customFormat="false" ht="30" hidden="false" customHeight="true" outlineLevel="0" collapsed="false">
      <c r="A35" s="11"/>
      <c r="B35" s="11"/>
      <c r="C35" s="11"/>
      <c r="D35" s="11" t="s">
        <v>134</v>
      </c>
      <c r="E35" s="11" t="s">
        <v>126</v>
      </c>
      <c r="F35" s="13" t="s">
        <v>151</v>
      </c>
      <c r="G35" s="11" t="s">
        <v>44</v>
      </c>
      <c r="H35" s="14" t="s">
        <v>152</v>
      </c>
      <c r="I35" s="12" t="s">
        <v>46</v>
      </c>
      <c r="J35" s="11" t="s">
        <v>47</v>
      </c>
      <c r="K35" s="11" t="s">
        <v>47</v>
      </c>
      <c r="L35" s="11" t="s">
        <v>47</v>
      </c>
      <c r="M35" s="11" t="s">
        <v>47</v>
      </c>
      <c r="N35" s="11" t="s">
        <v>47</v>
      </c>
      <c r="O35" s="11" t="s">
        <v>47</v>
      </c>
      <c r="P35" s="11" t="s">
        <v>47</v>
      </c>
      <c r="Q35" s="11" t="s">
        <v>47</v>
      </c>
      <c r="R35" s="11" t="s">
        <v>47</v>
      </c>
      <c r="S35" s="11" t="s">
        <v>47</v>
      </c>
      <c r="T35" s="11" t="s">
        <v>47</v>
      </c>
      <c r="U35" s="11" t="s">
        <v>47</v>
      </c>
      <c r="V35" s="11" t="s">
        <v>47</v>
      </c>
      <c r="W35" s="11" t="s">
        <v>47</v>
      </c>
      <c r="X35" s="11"/>
      <c r="Y35" s="11"/>
      <c r="Z35" s="11"/>
      <c r="AA35" s="11"/>
      <c r="AB35" s="11" t="s">
        <v>47</v>
      </c>
      <c r="AC35" s="11" t="s">
        <v>47</v>
      </c>
      <c r="AD35" s="11"/>
      <c r="AE35" s="11"/>
      <c r="AF35" s="14"/>
      <c r="AG35" s="14" t="s">
        <v>153</v>
      </c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mergeCells count="30">
    <mergeCell ref="A1:A2"/>
    <mergeCell ref="B1:B2"/>
    <mergeCell ref="C1:C2"/>
    <mergeCell ref="D1:E1"/>
    <mergeCell ref="F1:F2"/>
    <mergeCell ref="G1:G2"/>
    <mergeCell ref="H1:H2"/>
    <mergeCell ref="I1:I2"/>
    <mergeCell ref="J1:M1"/>
    <mergeCell ref="N1:Q1"/>
    <mergeCell ref="R1:T1"/>
    <mergeCell ref="U1:W1"/>
    <mergeCell ref="X1:AA1"/>
    <mergeCell ref="AB1:AE1"/>
    <mergeCell ref="AF1:AF2"/>
    <mergeCell ref="AG1:AG2"/>
    <mergeCell ref="A3:A12"/>
    <mergeCell ref="B3:B12"/>
    <mergeCell ref="C3:C12"/>
    <mergeCell ref="AF3:AF12"/>
    <mergeCell ref="A13:A26"/>
    <mergeCell ref="B13:B26"/>
    <mergeCell ref="C13:C20"/>
    <mergeCell ref="AF13:AF20"/>
    <mergeCell ref="C21:C26"/>
    <mergeCell ref="AF21:AF26"/>
    <mergeCell ref="A27:A35"/>
    <mergeCell ref="B27:B35"/>
    <mergeCell ref="C27:C35"/>
    <mergeCell ref="AF27:AF35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0063"/>
    <pageSetUpPr fitToPage="true"/>
  </sheetPr>
  <dimension ref="A1:L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E5" activeCellId="0" sqref="E5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5" min="3" style="1" width="24"/>
    <col collapsed="false" customWidth="true" hidden="false" outlineLevel="0" max="10" min="6" style="1" width="15"/>
    <col collapsed="false" customWidth="true" hidden="false" outlineLevel="0" max="11" min="11" style="1" width="36"/>
    <col collapsed="false" customWidth="true" hidden="false" outlineLevel="0" max="12" min="12" style="1" width="58"/>
    <col collapsed="false" customWidth="true" hidden="false" outlineLevel="0" max="14" min="13" style="1" width="15"/>
    <col collapsed="false" customWidth="true" hidden="false" outlineLevel="0" max="26" min="15" style="1" width="8.71"/>
  </cols>
  <sheetData>
    <row r="1" customFormat="false" ht="15" hidden="false" customHeight="true" outlineLevel="0" collapsed="false">
      <c r="A1" s="15" t="s">
        <v>154</v>
      </c>
    </row>
    <row r="2" customFormat="false" ht="15" hidden="false" customHeight="true" outlineLevel="0" collapsed="false">
      <c r="A2" s="16"/>
    </row>
    <row r="4" customFormat="false" ht="39.75" hidden="false" customHeight="true" outlineLevel="0" collapsed="false">
      <c r="A4" s="2" t="s">
        <v>0</v>
      </c>
      <c r="B4" s="2" t="s">
        <v>1</v>
      </c>
      <c r="C4" s="2" t="s">
        <v>2</v>
      </c>
      <c r="D4" s="2" t="s">
        <v>155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160</v>
      </c>
      <c r="J4" s="2" t="s">
        <v>161</v>
      </c>
      <c r="K4" s="2" t="s">
        <v>162</v>
      </c>
      <c r="L4" s="2" t="s">
        <v>163</v>
      </c>
    </row>
    <row r="5" customFormat="false" ht="60" hidden="false" customHeight="true" outlineLevel="0" collapsed="false">
      <c r="A5" s="17" t="s">
        <v>38</v>
      </c>
      <c r="B5" s="18" t="s">
        <v>39</v>
      </c>
      <c r="C5" s="19" t="s">
        <v>164</v>
      </c>
      <c r="D5" s="17" t="s">
        <v>165</v>
      </c>
      <c r="E5" s="20" t="s">
        <v>166</v>
      </c>
      <c r="F5" s="20" t="s">
        <v>167</v>
      </c>
      <c r="G5" s="20"/>
      <c r="H5" s="20" t="s">
        <v>167</v>
      </c>
      <c r="I5" s="20"/>
      <c r="J5" s="20" t="s">
        <v>167</v>
      </c>
      <c r="K5" s="17" t="s">
        <v>168</v>
      </c>
      <c r="L5" s="17" t="s">
        <v>169</v>
      </c>
    </row>
    <row r="6" customFormat="false" ht="60" hidden="false" customHeight="true" outlineLevel="0" collapsed="false">
      <c r="A6" s="21" t="s">
        <v>79</v>
      </c>
      <c r="B6" s="20" t="s">
        <v>80</v>
      </c>
      <c r="C6" s="19" t="s">
        <v>170</v>
      </c>
      <c r="D6" s="17" t="s">
        <v>171</v>
      </c>
      <c r="E6" s="20" t="s">
        <v>172</v>
      </c>
      <c r="F6" s="20"/>
      <c r="G6" s="20" t="s">
        <v>167</v>
      </c>
      <c r="H6" s="20" t="s">
        <v>167</v>
      </c>
      <c r="I6" s="20" t="s">
        <v>167</v>
      </c>
      <c r="J6" s="20"/>
      <c r="K6" s="17" t="s">
        <v>173</v>
      </c>
      <c r="L6" s="17" t="s">
        <v>174</v>
      </c>
    </row>
    <row r="7" customFormat="false" ht="60" hidden="false" customHeight="true" outlineLevel="0" collapsed="false">
      <c r="A7" s="21"/>
      <c r="B7" s="21"/>
      <c r="C7" s="19" t="s">
        <v>175</v>
      </c>
      <c r="D7" s="17" t="s">
        <v>176</v>
      </c>
      <c r="E7" s="20" t="s">
        <v>177</v>
      </c>
      <c r="F7" s="20"/>
      <c r="G7" s="20" t="s">
        <v>167</v>
      </c>
      <c r="H7" s="20" t="s">
        <v>167</v>
      </c>
      <c r="I7" s="20" t="s">
        <v>167</v>
      </c>
      <c r="J7" s="20"/>
      <c r="K7" s="17" t="s">
        <v>178</v>
      </c>
      <c r="L7" s="17" t="s">
        <v>179</v>
      </c>
    </row>
    <row r="8" customFormat="false" ht="60" hidden="false" customHeight="true" outlineLevel="0" collapsed="false">
      <c r="A8" s="17" t="s">
        <v>122</v>
      </c>
      <c r="B8" s="18" t="s">
        <v>123</v>
      </c>
      <c r="C8" s="19" t="s">
        <v>180</v>
      </c>
      <c r="D8" s="17" t="s">
        <v>181</v>
      </c>
      <c r="E8" s="20" t="s">
        <v>182</v>
      </c>
      <c r="F8" s="20" t="s">
        <v>167</v>
      </c>
      <c r="G8" s="20" t="s">
        <v>167</v>
      </c>
      <c r="H8" s="20" t="s">
        <v>167</v>
      </c>
      <c r="I8" s="20" t="s">
        <v>167</v>
      </c>
      <c r="J8" s="20"/>
      <c r="K8" s="17" t="s">
        <v>183</v>
      </c>
      <c r="L8" s="17" t="s">
        <v>184</v>
      </c>
    </row>
    <row r="9" customFormat="false" ht="15" hidden="false" customHeight="true" outlineLevel="0" collapsed="false">
      <c r="B9" s="22" t="s">
        <v>185</v>
      </c>
      <c r="C9" s="22"/>
      <c r="D9" s="22"/>
      <c r="E9" s="23" t="n">
        <f aca="false">COUNTIF(E5:E8,"X*")</f>
        <v>4</v>
      </c>
      <c r="F9" s="23" t="n">
        <f aca="false">COUNTIF(F5:F8,"X*")</f>
        <v>2</v>
      </c>
      <c r="G9" s="23" t="n">
        <f aca="false">COUNTIF(G5:G8,"X*")</f>
        <v>3</v>
      </c>
      <c r="H9" s="23" t="n">
        <f aca="false">COUNTIF(H5:H8,"X*")</f>
        <v>4</v>
      </c>
      <c r="I9" s="23" t="n">
        <f aca="false">COUNTIF(I5:I8,"X*")</f>
        <v>3</v>
      </c>
      <c r="J9" s="23" t="n">
        <f aca="false">COUNTIF(J5:J8,"X*")</f>
        <v>1</v>
      </c>
      <c r="K9" s="24"/>
      <c r="L9" s="24"/>
    </row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20" customFormat="false" ht="1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6:A7"/>
    <mergeCell ref="B6:B7"/>
    <mergeCell ref="B9:D9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365C"/>
    <pageSetUpPr fitToPage="true"/>
  </sheetPr>
  <dimension ref="A1:K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24"/>
    <col collapsed="false" customWidth="true" hidden="false" outlineLevel="0" max="5" min="5" style="1" width="17"/>
    <col collapsed="false" customWidth="true" hidden="false" outlineLevel="0" max="6" min="6" style="1" width="34"/>
    <col collapsed="false" customWidth="true" hidden="false" outlineLevel="0" max="7" min="7" style="1" width="44"/>
    <col collapsed="false" customWidth="true" hidden="false" outlineLevel="0" max="8" min="8" style="1" width="24"/>
    <col collapsed="false" customWidth="true" hidden="false" outlineLevel="0" max="10" min="9" style="1" width="30"/>
    <col collapsed="false" customWidth="true" hidden="false" outlineLevel="0" max="11" min="11" style="1" width="7"/>
    <col collapsed="false" customWidth="true" hidden="false" outlineLevel="0" max="26" min="12" style="1" width="8.71"/>
  </cols>
  <sheetData>
    <row r="1" customFormat="false" ht="30" hidden="false" customHeight="true" outlineLevel="0" collapsed="false">
      <c r="A1" s="25" t="s">
        <v>0</v>
      </c>
      <c r="B1" s="25" t="s">
        <v>1</v>
      </c>
      <c r="C1" s="25" t="s">
        <v>186</v>
      </c>
      <c r="D1" s="25" t="s">
        <v>187</v>
      </c>
      <c r="E1" s="25" t="s">
        <v>188</v>
      </c>
      <c r="F1" s="25" t="s">
        <v>189</v>
      </c>
      <c r="G1" s="25" t="s">
        <v>190</v>
      </c>
      <c r="H1" s="25" t="s">
        <v>191</v>
      </c>
      <c r="I1" s="25" t="s">
        <v>192</v>
      </c>
      <c r="J1" s="25" t="s">
        <v>193</v>
      </c>
      <c r="K1" s="25" t="s">
        <v>194</v>
      </c>
    </row>
    <row r="2" customFormat="false" ht="57.75" hidden="false" customHeight="true" outlineLevel="0" collapsed="false">
      <c r="A2" s="26" t="n">
        <v>1</v>
      </c>
      <c r="B2" s="27" t="s">
        <v>195</v>
      </c>
      <c r="C2" s="27" t="s">
        <v>196</v>
      </c>
      <c r="D2" s="27" t="s">
        <v>197</v>
      </c>
      <c r="E2" s="27" t="s">
        <v>198</v>
      </c>
      <c r="F2" s="27" t="s">
        <v>199</v>
      </c>
      <c r="G2" s="27" t="s">
        <v>200</v>
      </c>
      <c r="H2" s="27" t="s">
        <v>201</v>
      </c>
      <c r="I2" s="27" t="s">
        <v>202</v>
      </c>
      <c r="J2" s="27" t="s">
        <v>203</v>
      </c>
      <c r="K2" s="26" t="s">
        <v>204</v>
      </c>
    </row>
    <row r="3" customFormat="false" ht="71.25" hidden="false" customHeight="true" outlineLevel="0" collapsed="false">
      <c r="A3" s="26" t="n">
        <v>2</v>
      </c>
      <c r="B3" s="27" t="s">
        <v>195</v>
      </c>
      <c r="C3" s="27" t="s">
        <v>201</v>
      </c>
      <c r="D3" s="27" t="s">
        <v>201</v>
      </c>
      <c r="E3" s="27" t="s">
        <v>205</v>
      </c>
      <c r="F3" s="27" t="s">
        <v>206</v>
      </c>
      <c r="G3" s="27" t="s">
        <v>207</v>
      </c>
      <c r="H3" s="27" t="s">
        <v>201</v>
      </c>
      <c r="I3" s="27" t="s">
        <v>201</v>
      </c>
      <c r="J3" s="27" t="s">
        <v>208</v>
      </c>
      <c r="K3" s="26" t="s">
        <v>209</v>
      </c>
    </row>
    <row r="4" customFormat="false" ht="57.75" hidden="false" customHeight="true" outlineLevel="0" collapsed="false">
      <c r="A4" s="26" t="n">
        <v>3</v>
      </c>
      <c r="B4" s="27" t="s">
        <v>210</v>
      </c>
      <c r="C4" s="27" t="s">
        <v>211</v>
      </c>
      <c r="D4" s="27" t="s">
        <v>212</v>
      </c>
      <c r="E4" s="27" t="s">
        <v>213</v>
      </c>
      <c r="F4" s="27" t="s">
        <v>214</v>
      </c>
      <c r="G4" s="27" t="s">
        <v>215</v>
      </c>
      <c r="H4" s="27" t="s">
        <v>216</v>
      </c>
      <c r="I4" s="27" t="s">
        <v>217</v>
      </c>
      <c r="J4" s="27" t="s">
        <v>218</v>
      </c>
      <c r="K4" s="26" t="s">
        <v>219</v>
      </c>
    </row>
    <row r="5" customFormat="false" ht="30.75" hidden="false" customHeight="true" outlineLevel="0" collapsed="false">
      <c r="A5" s="26" t="n">
        <v>4</v>
      </c>
      <c r="B5" s="27" t="s">
        <v>210</v>
      </c>
      <c r="C5" s="27" t="s">
        <v>211</v>
      </c>
      <c r="D5" s="27" t="s">
        <v>220</v>
      </c>
      <c r="E5" s="27" t="s">
        <v>213</v>
      </c>
      <c r="F5" s="27" t="s">
        <v>221</v>
      </c>
      <c r="G5" s="27" t="s">
        <v>222</v>
      </c>
      <c r="H5" s="27" t="s">
        <v>201</v>
      </c>
      <c r="I5" s="27" t="s">
        <v>201</v>
      </c>
      <c r="J5" s="27" t="s">
        <v>201</v>
      </c>
      <c r="K5" s="26" t="s">
        <v>219</v>
      </c>
    </row>
    <row r="6" customFormat="false" ht="44.25" hidden="false" customHeight="true" outlineLevel="0" collapsed="false">
      <c r="A6" s="26" t="n">
        <v>5</v>
      </c>
      <c r="B6" s="27" t="s">
        <v>210</v>
      </c>
      <c r="C6" s="27" t="s">
        <v>211</v>
      </c>
      <c r="D6" s="27" t="s">
        <v>223</v>
      </c>
      <c r="E6" s="27" t="s">
        <v>213</v>
      </c>
      <c r="F6" s="27" t="s">
        <v>224</v>
      </c>
      <c r="G6" s="27" t="s">
        <v>225</v>
      </c>
      <c r="H6" s="27" t="s">
        <v>201</v>
      </c>
      <c r="I6" s="27" t="s">
        <v>226</v>
      </c>
      <c r="J6" s="27" t="s">
        <v>227</v>
      </c>
      <c r="K6" s="26" t="s">
        <v>219</v>
      </c>
    </row>
    <row r="7" customFormat="false" ht="30.75" hidden="false" customHeight="true" outlineLevel="0" collapsed="false">
      <c r="A7" s="26" t="n">
        <v>6</v>
      </c>
      <c r="B7" s="27" t="s">
        <v>210</v>
      </c>
      <c r="C7" s="27" t="s">
        <v>211</v>
      </c>
      <c r="D7" s="27" t="s">
        <v>228</v>
      </c>
      <c r="E7" s="27" t="s">
        <v>213</v>
      </c>
      <c r="F7" s="27" t="s">
        <v>229</v>
      </c>
      <c r="G7" s="27" t="s">
        <v>230</v>
      </c>
      <c r="H7" s="27" t="s">
        <v>201</v>
      </c>
      <c r="I7" s="27" t="s">
        <v>231</v>
      </c>
      <c r="J7" s="27" t="s">
        <v>232</v>
      </c>
      <c r="K7" s="26" t="s">
        <v>219</v>
      </c>
    </row>
    <row r="8" customFormat="false" ht="30.75" hidden="false" customHeight="true" outlineLevel="0" collapsed="false">
      <c r="A8" s="26" t="n">
        <v>7</v>
      </c>
      <c r="B8" s="27" t="s">
        <v>210</v>
      </c>
      <c r="C8" s="27" t="s">
        <v>211</v>
      </c>
      <c r="D8" s="27" t="s">
        <v>233</v>
      </c>
      <c r="E8" s="27" t="s">
        <v>213</v>
      </c>
      <c r="F8" s="27" t="s">
        <v>234</v>
      </c>
      <c r="G8" s="27" t="s">
        <v>235</v>
      </c>
      <c r="H8" s="27" t="s">
        <v>201</v>
      </c>
      <c r="I8" s="27" t="s">
        <v>236</v>
      </c>
      <c r="J8" s="27" t="s">
        <v>201</v>
      </c>
      <c r="K8" s="26" t="s">
        <v>219</v>
      </c>
    </row>
    <row r="9" customFormat="false" ht="44.25" hidden="false" customHeight="true" outlineLevel="0" collapsed="false">
      <c r="A9" s="26" t="n">
        <v>8</v>
      </c>
      <c r="B9" s="27" t="s">
        <v>210</v>
      </c>
      <c r="C9" s="27" t="s">
        <v>237</v>
      </c>
      <c r="D9" s="27" t="s">
        <v>238</v>
      </c>
      <c r="E9" s="27" t="s">
        <v>239</v>
      </c>
      <c r="F9" s="27" t="s">
        <v>240</v>
      </c>
      <c r="G9" s="27" t="s">
        <v>241</v>
      </c>
      <c r="H9" s="27" t="s">
        <v>242</v>
      </c>
      <c r="I9" s="27" t="s">
        <v>243</v>
      </c>
      <c r="J9" s="27" t="s">
        <v>244</v>
      </c>
      <c r="K9" s="26" t="s">
        <v>219</v>
      </c>
    </row>
    <row r="10" customFormat="false" ht="30.75" hidden="false" customHeight="true" outlineLevel="0" collapsed="false">
      <c r="A10" s="26" t="n">
        <v>9</v>
      </c>
      <c r="B10" s="27" t="s">
        <v>210</v>
      </c>
      <c r="C10" s="27" t="s">
        <v>237</v>
      </c>
      <c r="D10" s="27" t="s">
        <v>245</v>
      </c>
      <c r="E10" s="27" t="s">
        <v>239</v>
      </c>
      <c r="F10" s="27" t="s">
        <v>246</v>
      </c>
      <c r="G10" s="27" t="s">
        <v>247</v>
      </c>
      <c r="H10" s="27" t="s">
        <v>201</v>
      </c>
      <c r="I10" s="27" t="s">
        <v>248</v>
      </c>
      <c r="J10" s="27" t="s">
        <v>201</v>
      </c>
      <c r="K10" s="26" t="s">
        <v>219</v>
      </c>
    </row>
    <row r="11" customFormat="false" ht="44.25" hidden="false" customHeight="true" outlineLevel="0" collapsed="false">
      <c r="A11" s="26" t="n">
        <v>10</v>
      </c>
      <c r="B11" s="27" t="s">
        <v>210</v>
      </c>
      <c r="C11" s="27" t="s">
        <v>237</v>
      </c>
      <c r="D11" s="27" t="s">
        <v>249</v>
      </c>
      <c r="E11" s="27" t="s">
        <v>239</v>
      </c>
      <c r="F11" s="27" t="s">
        <v>250</v>
      </c>
      <c r="G11" s="27" t="s">
        <v>251</v>
      </c>
      <c r="H11" s="27" t="s">
        <v>201</v>
      </c>
      <c r="I11" s="27" t="s">
        <v>252</v>
      </c>
      <c r="J11" s="27" t="s">
        <v>253</v>
      </c>
      <c r="K11" s="26" t="s">
        <v>219</v>
      </c>
    </row>
    <row r="12" customFormat="false" ht="30" hidden="false" customHeight="true" outlineLevel="0" collapsed="false">
      <c r="A12" s="26" t="n">
        <v>11</v>
      </c>
      <c r="B12" s="27" t="s">
        <v>210</v>
      </c>
      <c r="C12" s="27" t="s">
        <v>237</v>
      </c>
      <c r="D12" s="27" t="s">
        <v>233</v>
      </c>
      <c r="E12" s="27" t="s">
        <v>239</v>
      </c>
      <c r="F12" s="27" t="s">
        <v>254</v>
      </c>
      <c r="G12" s="27" t="s">
        <v>255</v>
      </c>
      <c r="H12" s="27" t="s">
        <v>201</v>
      </c>
      <c r="I12" s="27" t="s">
        <v>201</v>
      </c>
      <c r="J12" s="27" t="s">
        <v>201</v>
      </c>
      <c r="K12" s="26" t="s">
        <v>219</v>
      </c>
    </row>
    <row r="13" customFormat="false" ht="44.25" hidden="false" customHeight="true" outlineLevel="0" collapsed="false">
      <c r="A13" s="26" t="n">
        <v>12</v>
      </c>
      <c r="B13" s="27" t="s">
        <v>210</v>
      </c>
      <c r="C13" s="27" t="s">
        <v>256</v>
      </c>
      <c r="D13" s="27" t="s">
        <v>257</v>
      </c>
      <c r="E13" s="27" t="s">
        <v>258</v>
      </c>
      <c r="F13" s="27" t="s">
        <v>259</v>
      </c>
      <c r="G13" s="27" t="s">
        <v>260</v>
      </c>
      <c r="H13" s="27" t="s">
        <v>261</v>
      </c>
      <c r="I13" s="27" t="s">
        <v>262</v>
      </c>
      <c r="J13" s="27" t="s">
        <v>263</v>
      </c>
      <c r="K13" s="26" t="s">
        <v>219</v>
      </c>
    </row>
    <row r="14" customFormat="false" ht="57.75" hidden="false" customHeight="true" outlineLevel="0" collapsed="false">
      <c r="A14" s="26" t="n">
        <v>13</v>
      </c>
      <c r="B14" s="27" t="s">
        <v>210</v>
      </c>
      <c r="C14" s="27" t="s">
        <v>264</v>
      </c>
      <c r="D14" s="27" t="s">
        <v>265</v>
      </c>
      <c r="E14" s="27" t="s">
        <v>266</v>
      </c>
      <c r="F14" s="27" t="s">
        <v>267</v>
      </c>
      <c r="G14" s="27" t="s">
        <v>268</v>
      </c>
      <c r="H14" s="27" t="s">
        <v>269</v>
      </c>
      <c r="I14" s="27" t="s">
        <v>270</v>
      </c>
      <c r="J14" s="27" t="s">
        <v>271</v>
      </c>
      <c r="K14" s="26" t="s">
        <v>219</v>
      </c>
    </row>
    <row r="15" customFormat="false" ht="71.25" hidden="false" customHeight="true" outlineLevel="0" collapsed="false">
      <c r="A15" s="26" t="n">
        <v>14</v>
      </c>
      <c r="B15" s="27" t="s">
        <v>210</v>
      </c>
      <c r="C15" s="27" t="s">
        <v>272</v>
      </c>
      <c r="D15" s="27" t="s">
        <v>273</v>
      </c>
      <c r="E15" s="27" t="s">
        <v>274</v>
      </c>
      <c r="F15" s="27" t="s">
        <v>275</v>
      </c>
      <c r="G15" s="27" t="s">
        <v>276</v>
      </c>
      <c r="H15" s="27" t="s">
        <v>277</v>
      </c>
      <c r="I15" s="27" t="s">
        <v>278</v>
      </c>
      <c r="J15" s="27" t="s">
        <v>279</v>
      </c>
      <c r="K15" s="26" t="s">
        <v>219</v>
      </c>
    </row>
    <row r="16" customFormat="false" ht="44.25" hidden="false" customHeight="true" outlineLevel="0" collapsed="false">
      <c r="A16" s="26" t="n">
        <v>15</v>
      </c>
      <c r="B16" s="27" t="s">
        <v>210</v>
      </c>
      <c r="C16" s="27" t="s">
        <v>280</v>
      </c>
      <c r="D16" s="27" t="s">
        <v>201</v>
      </c>
      <c r="E16" s="27" t="s">
        <v>201</v>
      </c>
      <c r="F16" s="27" t="s">
        <v>281</v>
      </c>
      <c r="G16" s="27" t="s">
        <v>282</v>
      </c>
      <c r="H16" s="27" t="s">
        <v>283</v>
      </c>
      <c r="I16" s="27" t="s">
        <v>284</v>
      </c>
      <c r="J16" s="27" t="s">
        <v>285</v>
      </c>
      <c r="K16" s="26" t="s">
        <v>219</v>
      </c>
    </row>
    <row r="17" customFormat="false" ht="71.25" hidden="false" customHeight="true" outlineLevel="0" collapsed="false">
      <c r="A17" s="26" t="n">
        <v>16</v>
      </c>
      <c r="B17" s="27" t="s">
        <v>210</v>
      </c>
      <c r="C17" s="27" t="s">
        <v>286</v>
      </c>
      <c r="D17" s="27" t="s">
        <v>287</v>
      </c>
      <c r="E17" s="27" t="s">
        <v>288</v>
      </c>
      <c r="F17" s="27" t="s">
        <v>289</v>
      </c>
      <c r="G17" s="27" t="s">
        <v>290</v>
      </c>
      <c r="H17" s="27" t="s">
        <v>201</v>
      </c>
      <c r="I17" s="27" t="s">
        <v>291</v>
      </c>
      <c r="J17" s="27" t="s">
        <v>292</v>
      </c>
      <c r="K17" s="26" t="s">
        <v>219</v>
      </c>
    </row>
    <row r="18" customFormat="false" ht="57.75" hidden="false" customHeight="true" outlineLevel="0" collapsed="false">
      <c r="A18" s="26" t="n">
        <v>17</v>
      </c>
      <c r="B18" s="27" t="s">
        <v>210</v>
      </c>
      <c r="C18" s="27" t="s">
        <v>293</v>
      </c>
      <c r="D18" s="27" t="s">
        <v>294</v>
      </c>
      <c r="E18" s="27" t="s">
        <v>295</v>
      </c>
      <c r="F18" s="27" t="s">
        <v>296</v>
      </c>
      <c r="G18" s="27" t="s">
        <v>297</v>
      </c>
      <c r="H18" s="27" t="s">
        <v>298</v>
      </c>
      <c r="I18" s="27" t="s">
        <v>299</v>
      </c>
      <c r="J18" s="27" t="s">
        <v>300</v>
      </c>
      <c r="K18" s="26" t="s">
        <v>219</v>
      </c>
    </row>
    <row r="19" customFormat="false" ht="84.75" hidden="false" customHeight="true" outlineLevel="0" collapsed="false">
      <c r="A19" s="26" t="n">
        <v>18</v>
      </c>
      <c r="B19" s="27" t="s">
        <v>301</v>
      </c>
      <c r="C19" s="27" t="s">
        <v>293</v>
      </c>
      <c r="D19" s="27" t="s">
        <v>302</v>
      </c>
      <c r="E19" s="27" t="s">
        <v>295</v>
      </c>
      <c r="F19" s="27" t="s">
        <v>303</v>
      </c>
      <c r="G19" s="27" t="s">
        <v>304</v>
      </c>
      <c r="H19" s="27" t="s">
        <v>305</v>
      </c>
      <c r="I19" s="27" t="s">
        <v>306</v>
      </c>
      <c r="J19" s="27" t="s">
        <v>307</v>
      </c>
      <c r="K19" s="26" t="s">
        <v>308</v>
      </c>
    </row>
    <row r="20" customFormat="false" ht="30.75" hidden="false" customHeight="true" outlineLevel="0" collapsed="false">
      <c r="A20" s="26" t="n">
        <v>19</v>
      </c>
      <c r="B20" s="27" t="s">
        <v>301</v>
      </c>
      <c r="C20" s="27" t="s">
        <v>309</v>
      </c>
      <c r="D20" s="27" t="s">
        <v>310</v>
      </c>
      <c r="E20" s="27" t="s">
        <v>311</v>
      </c>
      <c r="F20" s="27" t="s">
        <v>312</v>
      </c>
      <c r="G20" s="27" t="s">
        <v>313</v>
      </c>
      <c r="H20" s="27" t="s">
        <v>314</v>
      </c>
      <c r="I20" s="27" t="s">
        <v>315</v>
      </c>
      <c r="J20" s="27" t="s">
        <v>201</v>
      </c>
      <c r="K20" s="26" t="s">
        <v>308</v>
      </c>
    </row>
    <row r="21" customFormat="false" ht="71.25" hidden="false" customHeight="true" outlineLevel="0" collapsed="false">
      <c r="A21" s="26" t="n">
        <v>20</v>
      </c>
      <c r="B21" s="27" t="s">
        <v>301</v>
      </c>
      <c r="C21" s="27" t="s">
        <v>256</v>
      </c>
      <c r="D21" s="27" t="s">
        <v>316</v>
      </c>
      <c r="E21" s="27" t="s">
        <v>258</v>
      </c>
      <c r="F21" s="27" t="s">
        <v>317</v>
      </c>
      <c r="G21" s="27" t="s">
        <v>318</v>
      </c>
      <c r="H21" s="27" t="s">
        <v>319</v>
      </c>
      <c r="I21" s="27" t="s">
        <v>320</v>
      </c>
      <c r="J21" s="27" t="s">
        <v>321</v>
      </c>
      <c r="K21" s="26" t="s">
        <v>308</v>
      </c>
    </row>
    <row r="22" customFormat="false" ht="57.75" hidden="false" customHeight="true" outlineLevel="0" collapsed="false">
      <c r="A22" s="26" t="n">
        <v>21</v>
      </c>
      <c r="B22" s="27" t="s">
        <v>301</v>
      </c>
      <c r="C22" s="27" t="s">
        <v>293</v>
      </c>
      <c r="D22" s="27" t="s">
        <v>294</v>
      </c>
      <c r="E22" s="27" t="s">
        <v>295</v>
      </c>
      <c r="F22" s="27" t="s">
        <v>322</v>
      </c>
      <c r="G22" s="27" t="s">
        <v>323</v>
      </c>
      <c r="H22" s="27" t="s">
        <v>324</v>
      </c>
      <c r="I22" s="27" t="s">
        <v>325</v>
      </c>
      <c r="J22" s="27" t="s">
        <v>326</v>
      </c>
      <c r="K22" s="26" t="s">
        <v>308</v>
      </c>
    </row>
    <row r="23" customFormat="false" ht="57.75" hidden="false" customHeight="true" outlineLevel="0" collapsed="false">
      <c r="A23" s="26" t="n">
        <v>22</v>
      </c>
      <c r="B23" s="27" t="s">
        <v>301</v>
      </c>
      <c r="C23" s="27" t="s">
        <v>293</v>
      </c>
      <c r="D23" s="27" t="s">
        <v>327</v>
      </c>
      <c r="E23" s="27" t="s">
        <v>295</v>
      </c>
      <c r="F23" s="27" t="s">
        <v>328</v>
      </c>
      <c r="G23" s="27" t="s">
        <v>329</v>
      </c>
      <c r="H23" s="27" t="s">
        <v>330</v>
      </c>
      <c r="I23" s="27" t="s">
        <v>331</v>
      </c>
      <c r="J23" s="27" t="s">
        <v>332</v>
      </c>
      <c r="K23" s="26" t="s">
        <v>308</v>
      </c>
    </row>
    <row r="24" customFormat="false" ht="30.75" hidden="false" customHeight="true" outlineLevel="0" collapsed="false">
      <c r="A24" s="26" t="n">
        <v>23</v>
      </c>
      <c r="B24" s="27" t="s">
        <v>301</v>
      </c>
      <c r="C24" s="27" t="s">
        <v>293</v>
      </c>
      <c r="D24" s="27" t="s">
        <v>333</v>
      </c>
      <c r="E24" s="27" t="s">
        <v>295</v>
      </c>
      <c r="F24" s="27" t="s">
        <v>334</v>
      </c>
      <c r="G24" s="27" t="s">
        <v>335</v>
      </c>
      <c r="H24" s="27" t="s">
        <v>336</v>
      </c>
      <c r="I24" s="27" t="s">
        <v>337</v>
      </c>
      <c r="J24" s="27" t="s">
        <v>201</v>
      </c>
      <c r="K24" s="26" t="s">
        <v>308</v>
      </c>
    </row>
    <row r="25" customFormat="false" ht="30" hidden="false" customHeight="true" outlineLevel="0" collapsed="false">
      <c r="A25" s="26" t="n">
        <v>24</v>
      </c>
      <c r="B25" s="27" t="s">
        <v>301</v>
      </c>
      <c r="C25" s="27" t="s">
        <v>293</v>
      </c>
      <c r="D25" s="27" t="s">
        <v>338</v>
      </c>
      <c r="E25" s="27" t="s">
        <v>295</v>
      </c>
      <c r="F25" s="27" t="s">
        <v>254</v>
      </c>
      <c r="G25" s="27" t="s">
        <v>339</v>
      </c>
      <c r="H25" s="27" t="s">
        <v>201</v>
      </c>
      <c r="I25" s="27" t="s">
        <v>201</v>
      </c>
      <c r="J25" s="27" t="s">
        <v>201</v>
      </c>
      <c r="K25" s="26" t="s">
        <v>308</v>
      </c>
    </row>
    <row r="26" customFormat="false" ht="98.25" hidden="false" customHeight="true" outlineLevel="0" collapsed="false">
      <c r="A26" s="26" t="n">
        <v>25</v>
      </c>
      <c r="B26" s="27" t="s">
        <v>301</v>
      </c>
      <c r="C26" s="27" t="s">
        <v>293</v>
      </c>
      <c r="D26" s="27" t="s">
        <v>340</v>
      </c>
      <c r="E26" s="27" t="s">
        <v>295</v>
      </c>
      <c r="F26" s="27" t="s">
        <v>341</v>
      </c>
      <c r="G26" s="27" t="s">
        <v>342</v>
      </c>
      <c r="H26" s="27" t="s">
        <v>201</v>
      </c>
      <c r="I26" s="27" t="s">
        <v>201</v>
      </c>
      <c r="J26" s="27" t="s">
        <v>343</v>
      </c>
      <c r="K26" s="26" t="s">
        <v>308</v>
      </c>
    </row>
    <row r="27" customFormat="false" ht="44.25" hidden="false" customHeight="true" outlineLevel="0" collapsed="false">
      <c r="A27" s="26" t="n">
        <v>26</v>
      </c>
      <c r="B27" s="27" t="s">
        <v>301</v>
      </c>
      <c r="C27" s="27" t="s">
        <v>293</v>
      </c>
      <c r="D27" s="27" t="s">
        <v>327</v>
      </c>
      <c r="E27" s="27" t="s">
        <v>295</v>
      </c>
      <c r="F27" s="27" t="s">
        <v>344</v>
      </c>
      <c r="G27" s="27" t="s">
        <v>345</v>
      </c>
      <c r="H27" s="27" t="s">
        <v>201</v>
      </c>
      <c r="I27" s="27" t="s">
        <v>346</v>
      </c>
      <c r="J27" s="27" t="s">
        <v>347</v>
      </c>
      <c r="K27" s="26" t="s">
        <v>308</v>
      </c>
    </row>
    <row r="28" customFormat="false" ht="30" hidden="false" customHeight="true" outlineLevel="0" collapsed="false">
      <c r="A28" s="26" t="n">
        <v>27</v>
      </c>
      <c r="B28" s="27" t="s">
        <v>301</v>
      </c>
      <c r="C28" s="27" t="s">
        <v>293</v>
      </c>
      <c r="D28" s="27" t="s">
        <v>348</v>
      </c>
      <c r="E28" s="27" t="s">
        <v>295</v>
      </c>
      <c r="F28" s="27" t="s">
        <v>254</v>
      </c>
      <c r="G28" s="27" t="s">
        <v>349</v>
      </c>
      <c r="H28" s="27" t="s">
        <v>201</v>
      </c>
      <c r="I28" s="27" t="s">
        <v>201</v>
      </c>
      <c r="J28" s="27" t="s">
        <v>201</v>
      </c>
      <c r="K28" s="26" t="s">
        <v>308</v>
      </c>
    </row>
    <row r="29" customFormat="false" ht="57.75" hidden="false" customHeight="true" outlineLevel="0" collapsed="false">
      <c r="A29" s="26" t="n">
        <v>28</v>
      </c>
      <c r="B29" s="27" t="s">
        <v>350</v>
      </c>
      <c r="C29" s="27" t="s">
        <v>351</v>
      </c>
      <c r="D29" s="27" t="s">
        <v>352</v>
      </c>
      <c r="E29" s="27" t="s">
        <v>353</v>
      </c>
      <c r="F29" s="27" t="s">
        <v>354</v>
      </c>
      <c r="G29" s="27" t="s">
        <v>355</v>
      </c>
      <c r="H29" s="27" t="s">
        <v>356</v>
      </c>
      <c r="I29" s="27" t="s">
        <v>357</v>
      </c>
      <c r="J29" s="27" t="s">
        <v>358</v>
      </c>
      <c r="K29" s="26" t="s">
        <v>359</v>
      </c>
    </row>
    <row r="30" customFormat="false" ht="84.75" hidden="false" customHeight="true" outlineLevel="0" collapsed="false">
      <c r="A30" s="26" t="n">
        <v>29</v>
      </c>
      <c r="B30" s="27" t="s">
        <v>350</v>
      </c>
      <c r="C30" s="27" t="s">
        <v>360</v>
      </c>
      <c r="D30" s="27" t="s">
        <v>361</v>
      </c>
      <c r="E30" s="27" t="s">
        <v>288</v>
      </c>
      <c r="F30" s="27" t="s">
        <v>362</v>
      </c>
      <c r="G30" s="27" t="s">
        <v>363</v>
      </c>
      <c r="H30" s="27" t="s">
        <v>364</v>
      </c>
      <c r="I30" s="27" t="s">
        <v>365</v>
      </c>
      <c r="J30" s="27" t="s">
        <v>366</v>
      </c>
      <c r="K30" s="26" t="s">
        <v>359</v>
      </c>
    </row>
    <row r="31" customFormat="false" ht="57.75" hidden="false" customHeight="true" outlineLevel="0" collapsed="false">
      <c r="A31" s="26" t="n">
        <v>30</v>
      </c>
      <c r="B31" s="27" t="s">
        <v>350</v>
      </c>
      <c r="C31" s="27" t="s">
        <v>360</v>
      </c>
      <c r="D31" s="27" t="s">
        <v>367</v>
      </c>
      <c r="E31" s="27" t="s">
        <v>288</v>
      </c>
      <c r="F31" s="27" t="s">
        <v>368</v>
      </c>
      <c r="G31" s="27" t="s">
        <v>369</v>
      </c>
      <c r="H31" s="27" t="s">
        <v>201</v>
      </c>
      <c r="I31" s="27" t="s">
        <v>370</v>
      </c>
      <c r="J31" s="27" t="s">
        <v>371</v>
      </c>
      <c r="K31" s="26" t="s">
        <v>359</v>
      </c>
    </row>
    <row r="32" customFormat="false" ht="57.75" hidden="false" customHeight="true" outlineLevel="0" collapsed="false">
      <c r="A32" s="26" t="n">
        <v>31</v>
      </c>
      <c r="B32" s="27" t="s">
        <v>350</v>
      </c>
      <c r="C32" s="27" t="s">
        <v>360</v>
      </c>
      <c r="D32" s="27" t="s">
        <v>372</v>
      </c>
      <c r="E32" s="27" t="s">
        <v>288</v>
      </c>
      <c r="F32" s="27" t="s">
        <v>373</v>
      </c>
      <c r="G32" s="27" t="s">
        <v>374</v>
      </c>
      <c r="H32" s="27" t="s">
        <v>201</v>
      </c>
      <c r="I32" s="27" t="s">
        <v>201</v>
      </c>
      <c r="J32" s="27" t="s">
        <v>201</v>
      </c>
      <c r="K32" s="26" t="s">
        <v>359</v>
      </c>
    </row>
    <row r="33" customFormat="false" ht="44.25" hidden="false" customHeight="true" outlineLevel="0" collapsed="false">
      <c r="A33" s="26" t="n">
        <v>32</v>
      </c>
      <c r="B33" s="27" t="s">
        <v>350</v>
      </c>
      <c r="C33" s="27" t="s">
        <v>375</v>
      </c>
      <c r="D33" s="27" t="s">
        <v>376</v>
      </c>
      <c r="E33" s="27" t="s">
        <v>377</v>
      </c>
      <c r="F33" s="27" t="s">
        <v>378</v>
      </c>
      <c r="G33" s="27" t="s">
        <v>379</v>
      </c>
      <c r="H33" s="27" t="s">
        <v>380</v>
      </c>
      <c r="I33" s="27" t="s">
        <v>381</v>
      </c>
      <c r="J33" s="27" t="s">
        <v>382</v>
      </c>
      <c r="K33" s="26" t="s">
        <v>359</v>
      </c>
    </row>
    <row r="34" customFormat="false" ht="44.25" hidden="false" customHeight="true" outlineLevel="0" collapsed="false">
      <c r="A34" s="26" t="n">
        <v>33</v>
      </c>
      <c r="B34" s="27" t="s">
        <v>350</v>
      </c>
      <c r="C34" s="27" t="s">
        <v>383</v>
      </c>
      <c r="D34" s="27" t="s">
        <v>384</v>
      </c>
      <c r="E34" s="27" t="s">
        <v>385</v>
      </c>
      <c r="F34" s="27" t="s">
        <v>386</v>
      </c>
      <c r="G34" s="27" t="s">
        <v>387</v>
      </c>
      <c r="H34" s="27" t="s">
        <v>388</v>
      </c>
      <c r="I34" s="27" t="s">
        <v>389</v>
      </c>
      <c r="J34" s="27" t="s">
        <v>390</v>
      </c>
      <c r="K34" s="26" t="s">
        <v>359</v>
      </c>
    </row>
    <row r="35" customFormat="false" ht="84.75" hidden="false" customHeight="true" outlineLevel="0" collapsed="false">
      <c r="A35" s="26" t="n">
        <v>34</v>
      </c>
      <c r="B35" s="27" t="s">
        <v>350</v>
      </c>
      <c r="C35" s="27" t="s">
        <v>383</v>
      </c>
      <c r="D35" s="27" t="s">
        <v>391</v>
      </c>
      <c r="E35" s="27" t="s">
        <v>385</v>
      </c>
      <c r="F35" s="27" t="s">
        <v>392</v>
      </c>
      <c r="G35" s="27" t="s">
        <v>393</v>
      </c>
      <c r="H35" s="27" t="s">
        <v>394</v>
      </c>
      <c r="I35" s="27" t="s">
        <v>395</v>
      </c>
      <c r="J35" s="27" t="s">
        <v>396</v>
      </c>
      <c r="K35" s="26" t="s">
        <v>359</v>
      </c>
    </row>
    <row r="36" customFormat="false" ht="30.75" hidden="false" customHeight="true" outlineLevel="0" collapsed="false">
      <c r="A36" s="26" t="n">
        <v>35</v>
      </c>
      <c r="B36" s="27" t="s">
        <v>350</v>
      </c>
      <c r="C36" s="27" t="s">
        <v>383</v>
      </c>
      <c r="D36" s="27" t="s">
        <v>397</v>
      </c>
      <c r="E36" s="27" t="s">
        <v>385</v>
      </c>
      <c r="F36" s="27" t="s">
        <v>398</v>
      </c>
      <c r="G36" s="27" t="s">
        <v>399</v>
      </c>
      <c r="H36" s="27" t="s">
        <v>201</v>
      </c>
      <c r="I36" s="27" t="s">
        <v>400</v>
      </c>
      <c r="J36" s="27" t="s">
        <v>201</v>
      </c>
      <c r="K36" s="26" t="s">
        <v>359</v>
      </c>
    </row>
    <row r="37" customFormat="false" ht="57.75" hidden="false" customHeight="true" outlineLevel="0" collapsed="false">
      <c r="A37" s="26" t="n">
        <v>36</v>
      </c>
      <c r="B37" s="27" t="s">
        <v>401</v>
      </c>
      <c r="C37" s="27" t="s">
        <v>402</v>
      </c>
      <c r="D37" s="27" t="s">
        <v>403</v>
      </c>
      <c r="E37" s="27" t="s">
        <v>404</v>
      </c>
      <c r="F37" s="27" t="s">
        <v>405</v>
      </c>
      <c r="G37" s="27" t="s">
        <v>406</v>
      </c>
      <c r="H37" s="27" t="s">
        <v>407</v>
      </c>
      <c r="I37" s="27" t="s">
        <v>408</v>
      </c>
      <c r="J37" s="27" t="s">
        <v>409</v>
      </c>
      <c r="K37" s="26" t="s">
        <v>410</v>
      </c>
    </row>
    <row r="38" customFormat="false" ht="57.75" hidden="false" customHeight="true" outlineLevel="0" collapsed="false">
      <c r="A38" s="26" t="n">
        <v>37</v>
      </c>
      <c r="B38" s="27" t="s">
        <v>401</v>
      </c>
      <c r="C38" s="27" t="s">
        <v>402</v>
      </c>
      <c r="D38" s="27" t="s">
        <v>411</v>
      </c>
      <c r="E38" s="27" t="s">
        <v>404</v>
      </c>
      <c r="F38" s="27" t="s">
        <v>412</v>
      </c>
      <c r="G38" s="27" t="s">
        <v>413</v>
      </c>
      <c r="H38" s="27" t="s">
        <v>414</v>
      </c>
      <c r="I38" s="27" t="s">
        <v>415</v>
      </c>
      <c r="J38" s="27" t="s">
        <v>201</v>
      </c>
      <c r="K38" s="26" t="s">
        <v>410</v>
      </c>
    </row>
    <row r="39" customFormat="false" ht="71.25" hidden="false" customHeight="true" outlineLevel="0" collapsed="false">
      <c r="A39" s="26" t="n">
        <v>38</v>
      </c>
      <c r="B39" s="27" t="s">
        <v>401</v>
      </c>
      <c r="C39" s="27" t="s">
        <v>402</v>
      </c>
      <c r="D39" s="27" t="s">
        <v>416</v>
      </c>
      <c r="E39" s="27" t="s">
        <v>404</v>
      </c>
      <c r="F39" s="27" t="s">
        <v>417</v>
      </c>
      <c r="G39" s="27" t="s">
        <v>418</v>
      </c>
      <c r="H39" s="27" t="s">
        <v>419</v>
      </c>
      <c r="I39" s="27" t="s">
        <v>420</v>
      </c>
      <c r="J39" s="27" t="s">
        <v>421</v>
      </c>
      <c r="K39" s="26" t="s">
        <v>410</v>
      </c>
    </row>
    <row r="40" customFormat="false" ht="44.25" hidden="false" customHeight="true" outlineLevel="0" collapsed="false">
      <c r="A40" s="26" t="n">
        <v>39</v>
      </c>
      <c r="B40" s="27" t="s">
        <v>401</v>
      </c>
      <c r="C40" s="27" t="s">
        <v>422</v>
      </c>
      <c r="D40" s="27" t="s">
        <v>238</v>
      </c>
      <c r="E40" s="27" t="s">
        <v>423</v>
      </c>
      <c r="F40" s="27" t="s">
        <v>424</v>
      </c>
      <c r="G40" s="27" t="s">
        <v>425</v>
      </c>
      <c r="H40" s="27" t="s">
        <v>426</v>
      </c>
      <c r="I40" s="27" t="s">
        <v>427</v>
      </c>
      <c r="J40" s="27" t="s">
        <v>428</v>
      </c>
      <c r="K40" s="26" t="s">
        <v>410</v>
      </c>
    </row>
    <row r="41" customFormat="false" ht="57.75" hidden="false" customHeight="true" outlineLevel="0" collapsed="false">
      <c r="A41" s="26" t="n">
        <v>40</v>
      </c>
      <c r="B41" s="27" t="s">
        <v>401</v>
      </c>
      <c r="C41" s="27" t="s">
        <v>402</v>
      </c>
      <c r="D41" s="27" t="s">
        <v>429</v>
      </c>
      <c r="E41" s="27" t="s">
        <v>404</v>
      </c>
      <c r="F41" s="27" t="s">
        <v>430</v>
      </c>
      <c r="G41" s="27" t="s">
        <v>431</v>
      </c>
      <c r="H41" s="27" t="s">
        <v>201</v>
      </c>
      <c r="I41" s="27" t="s">
        <v>432</v>
      </c>
      <c r="J41" s="27" t="s">
        <v>433</v>
      </c>
      <c r="K41" s="26" t="s">
        <v>410</v>
      </c>
    </row>
    <row r="42" customFormat="false" ht="98.25" hidden="false" customHeight="true" outlineLevel="0" collapsed="false">
      <c r="A42" s="26" t="n">
        <v>41</v>
      </c>
      <c r="B42" s="27" t="s">
        <v>401</v>
      </c>
      <c r="C42" s="27" t="s">
        <v>402</v>
      </c>
      <c r="D42" s="27" t="s">
        <v>429</v>
      </c>
      <c r="E42" s="27" t="s">
        <v>404</v>
      </c>
      <c r="F42" s="27" t="s">
        <v>434</v>
      </c>
      <c r="G42" s="27" t="s">
        <v>435</v>
      </c>
      <c r="H42" s="27" t="s">
        <v>201</v>
      </c>
      <c r="I42" s="27" t="s">
        <v>201</v>
      </c>
      <c r="J42" s="27" t="s">
        <v>436</v>
      </c>
      <c r="K42" s="26" t="s">
        <v>410</v>
      </c>
    </row>
    <row r="43" customFormat="false" ht="165.75" hidden="false" customHeight="true" outlineLevel="0" collapsed="false">
      <c r="A43" s="26" t="n">
        <v>42</v>
      </c>
      <c r="B43" s="27" t="s">
        <v>401</v>
      </c>
      <c r="C43" s="27" t="s">
        <v>402</v>
      </c>
      <c r="D43" s="27" t="s">
        <v>437</v>
      </c>
      <c r="E43" s="27" t="s">
        <v>404</v>
      </c>
      <c r="F43" s="27" t="s">
        <v>438</v>
      </c>
      <c r="G43" s="27" t="s">
        <v>439</v>
      </c>
      <c r="H43" s="27" t="s">
        <v>440</v>
      </c>
      <c r="I43" s="27" t="s">
        <v>441</v>
      </c>
      <c r="J43" s="27" t="s">
        <v>442</v>
      </c>
      <c r="K43" s="26" t="s">
        <v>410</v>
      </c>
    </row>
    <row r="44" customFormat="false" ht="84.75" hidden="false" customHeight="true" outlineLevel="0" collapsed="false">
      <c r="A44" s="26" t="n">
        <v>43</v>
      </c>
      <c r="B44" s="27" t="s">
        <v>443</v>
      </c>
      <c r="C44" s="27" t="s">
        <v>444</v>
      </c>
      <c r="D44" s="27" t="s">
        <v>445</v>
      </c>
      <c r="E44" s="27" t="s">
        <v>201</v>
      </c>
      <c r="F44" s="27" t="s">
        <v>446</v>
      </c>
      <c r="G44" s="27" t="s">
        <v>447</v>
      </c>
      <c r="H44" s="27" t="s">
        <v>448</v>
      </c>
      <c r="I44" s="27" t="s">
        <v>201</v>
      </c>
      <c r="J44" s="27" t="s">
        <v>449</v>
      </c>
      <c r="K44" s="26" t="s">
        <v>450</v>
      </c>
    </row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K44"/>
  <printOptions headings="false" gridLines="false" gridLinesSet="true" horizontalCentered="true" verticalCentered="false"/>
  <pageMargins left="0.4" right="0.4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2026-10-13T19:51:37Z</dcterms:created>
  <dc:creator>openpyxl</dc:creator>
  <dc:description/>
  <dc:language>en-US</dc:language>
  <cp:lastModifiedBy/>
  <dcterms:modified xsi:type="dcterms:W3CDTF">2026-10-26T01:51:26Z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